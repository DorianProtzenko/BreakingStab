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6d75c90e5d49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77f6a02fb81c436a"/>
    <x:sheet xmlns:r="http://schemas.openxmlformats.org/officeDocument/2006/relationships" name="Stability" sheetId="2" r:id="R4e2a2032368c4f93"/>
    <x:sheet xmlns:r="http://schemas.openxmlformats.org/officeDocument/2006/relationships" name="Molecules" sheetId="3" r:id="R63103f3f5ca14d83"/>
    <x:sheet xmlns:r="http://schemas.openxmlformats.org/officeDocument/2006/relationships" name="Sources" sheetId="4" r:id="R839df2bb6bb54fba"/>
    <x:sheet xmlns:r="http://schemas.openxmlformats.org/officeDocument/2006/relationships" name="Devices" sheetId="5" r:id="R65a9f5d3eceb4154"/>
    <x:sheet xmlns:r="http://schemas.openxmlformats.org/officeDocument/2006/relationships" name="Solvents" sheetId="6" r:id="R72a42c3bb5864d8e"/>
    <x:sheet xmlns:r="http://schemas.openxmlformats.org/officeDocument/2006/relationships" name="RCP_fractionnement" sheetId="7" r:id="R0b91267417c644cf"/>
    <x:sheet xmlns:r="http://schemas.openxmlformats.org/officeDocument/2006/relationships" name="Y_compatibility" sheetId="8" r:id="Rb0831ff9a2714519"/>
    <x:sheet xmlns:r="http://schemas.openxmlformats.org/officeDocument/2006/relationships" name="Validation" sheetId="9" r:id="Ra9536ecf11e444bc"/>
    <x:sheet xmlns:r="http://schemas.openxmlformats.org/officeDocument/2006/relationships" name="Raw_import" sheetId="10" r:id="R1e8d6987dbd34b5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D5F8F"/>
      </x:patternFill>
    </x:fill>
    <x:fill>
      <x:patternFill patternType="solid">
        <x:fgColor rgb="1D5F8F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</x:cellXfs>
  <x:cellStyles count="1">
    <x:cellStyle name="Normal" xfId="0"/>
  </x:cellStyles>
  <x:dxfs count="4">
    <x:dxf>
      <x:font>
        <x:b/>
        <x:color rgb="991B1B"/>
      </x:font>
      <x:fill>
        <x:patternFill>
          <x:bgColor rgb="FEE2E2"/>
        </x:patternFill>
      </x:fill>
    </x:dxf>
    <x:dxf>
      <x:font>
        <x:b/>
        <x:color rgb="92400E"/>
      </x:font>
      <x:fill>
        <x:patternFill>
          <x:bgColor rgb="FEF3C7"/>
        </x:patternFill>
      </x:fill>
    </x:dxf>
    <x:dxf>
      <x:font>
        <x:b/>
        <x:color rgb="166534"/>
      </x:font>
      <x:fill>
        <x:patternFill>
          <x:bgColor rgb="DCFCE7"/>
        </x:patternFill>
      </x:fill>
    </x:dxf>
    <x:dxf>
      <x:font>
        <x:b/>
        <x:color rgb="075985"/>
      </x:font>
      <x:fill>
        <x:patternFill>
          <x:bgColor rgb="E0F2F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d79865710904092" /><Relationship Type="http://schemas.openxmlformats.org/officeDocument/2006/relationships/theme" Target="/xl/theme/theme1.xml" Id="R9bcce6790b3f42cd" /><Relationship Type="http://schemas.openxmlformats.org/officeDocument/2006/relationships/sharedStrings" Target="/xl/sharedStrings.xml" Id="R071b3db53d194e5c" /><Relationship Type="http://schemas.openxmlformats.org/officeDocument/2006/relationships/worksheet" Target="/xl/worksheets/sheet1.xml" Id="R77f6a02fb81c436a" /><Relationship Type="http://schemas.openxmlformats.org/officeDocument/2006/relationships/worksheet" Target="/xl/worksheets/sheet2.xml" Id="R4e2a2032368c4f93" /><Relationship Type="http://schemas.openxmlformats.org/officeDocument/2006/relationships/worksheet" Target="/xl/worksheets/sheet3.xml" Id="R63103f3f5ca14d83" /><Relationship Type="http://schemas.openxmlformats.org/officeDocument/2006/relationships/worksheet" Target="/xl/worksheets/sheet4.xml" Id="R839df2bb6bb54fba" /><Relationship Type="http://schemas.openxmlformats.org/officeDocument/2006/relationships/worksheet" Target="/xl/worksheets/sheet5.xml" Id="R65a9f5d3eceb4154" /><Relationship Type="http://schemas.openxmlformats.org/officeDocument/2006/relationships/worksheet" Target="/xl/worksheets/sheet6.xml" Id="R72a42c3bb5864d8e" /><Relationship Type="http://schemas.openxmlformats.org/officeDocument/2006/relationships/worksheet" Target="/xl/worksheets/sheet7.xml" Id="R0b91267417c644cf" /><Relationship Type="http://schemas.openxmlformats.org/officeDocument/2006/relationships/worksheet" Target="/xl/worksheets/sheet8.xml" Id="Rb0831ff9a2714519" /><Relationship Type="http://schemas.openxmlformats.org/officeDocument/2006/relationships/worksheet" Target="/xl/worksheets/sheet9.xml" Id="Ra9536ecf11e444bc" /><Relationship Type="http://schemas.openxmlformats.org/officeDocument/2006/relationships/worksheet" Target="/xl/worksheets/sheet10.xml" Id="R1e8d6987dbd34b50" /></Relationships>
</file>

<file path=xl/tables/table1.xml><?xml version="1.0" encoding="utf-8"?>
<x:table xmlns:x="http://schemas.openxmlformats.org/spreadsheetml/2006/main" id="1" name="StabilityTable" displayName="StabilityTable" ref="A1:AI123" headerRowCount="1">
  <x:tableColumns count="35">
    <x:tableColumn id="1" name="id"/>
    <x:tableColumn id="2" name="molecule"/>
    <x:tableColumn id="3" name="source_id"/>
    <x:tableColumn id="4" name="source_name"/>
    <x:tableColumn id="5" name="source_type"/>
    <x:tableColumn id="6" name="device_code"/>
    <x:tableColumn id="7" name="device_label"/>
    <x:tableColumn id="8" name="administration_mode"/>
    <x:tableColumn id="9" name="continuous_possible"/>
    <x:tableColumn id="10" name="discontinuous_possible"/>
    <x:tableColumn id="11" name="solvent"/>
    <x:tableColumn id="12" name="concentration_min"/>
    <x:tableColumn id="13" name="concentration_max"/>
    <x:tableColumn id="14" name="concentration_unit"/>
    <x:tableColumn id="15" name="volume_min_ml"/>
    <x:tableColumn id="16" name="volume_max_ml"/>
    <x:tableColumn id="17" name="temperature_min_c"/>
    <x:tableColumn id="18" name="temperature_max_c"/>
    <x:tableColumn id="19" name="temperature_label"/>
    <x:tableColumn id="20" name="stability_duration_h"/>
    <x:tableColumn id="21" name="runout_duration_h"/>
    <x:tableColumn id="22" name="light_protection"/>
    <x:tableColumn id="23" name="hydric_restriction_compatible"/>
    <x:tableColumn id="24" name="central_line_required"/>
    <x:tableColumn id="25" name="peripheral_line_possible"/>
    <x:tableColumn id="26" name="y_site_data_available"/>
    <x:tableColumn id="27" name="recommendation"/>
    <x:tableColumn id="28" name="warning_level"/>
    <x:tableColumn id="29" name="expert_validation_status"/>
    <x:tableColumn id="30" name="expert_validator"/>
    <x:tableColumn id="31" name="validation_date"/>
    <x:tableColumn id="32" name="condition_text"/>
    <x:tableColumn id="33" name="comment"/>
    <x:tableColumn id="34" name="source_quote"/>
    <x:tableColumn id="35" name="source_url"/>
  </x:tableColumns>
  <x:tableStyleInfo name="TableStyleMedium2" showRowStripes="1"/>
</x:table>
</file>

<file path=xl/tables/table2.xml><?xml version="1.0" encoding="utf-8"?>
<x:table xmlns:x="http://schemas.openxmlformats.org/spreadsheetml/2006/main" id="4" name="MoleculesTable" displayName="MoleculesTable" ref="A1:G48" headerRowCount="1">
  <x:tableColumns count="7">
    <x:tableColumn id="1" name="molecule"/>
    <x:tableColumn id="2" name="atc_class"/>
    <x:tableColumn id="3" name="family"/>
    <x:tableColumn id="4" name="usual_use"/>
    <x:tableColumn id="5" name="expert_owner"/>
    <x:tableColumn id="6" name="validation_status"/>
    <x:tableColumn id="7" name="comment"/>
  </x:tableColumns>
  <x:tableStyleInfo name="TableStyleMedium2" showRowStripes="1"/>
</x:table>
</file>

<file path=xl/tables/table3.xml><?xml version="1.0" encoding="utf-8"?>
<x:table xmlns:x="http://schemas.openxmlformats.org/spreadsheetml/2006/main" id="2" name="SourcesTable" displayName="SourcesTable" ref="A1:I17" headerRowCount="1">
  <x:tableColumns count="9">
    <x:tableColumn id="1" name="source_id"/>
    <x:tableColumn id="2" name="source_name"/>
    <x:tableColumn id="3" name="source_type"/>
    <x:tableColumn id="4" name="priority"/>
    <x:tableColumn id="5" name="default_confidence"/>
    <x:tableColumn id="6" name="owner"/>
    <x:tableColumn id="7" name="last_review_date"/>
    <x:tableColumn id="8" name="url"/>
    <x:tableColumn id="9" name="comment"/>
  </x:tableColumns>
  <x:tableStyleInfo name="TableStyleMedium2" showRowStripes="1"/>
</x:table>
</file>

<file path=xl/tables/table4.xml><?xml version="1.0" encoding="utf-8"?>
<x:table xmlns:x="http://schemas.openxmlformats.org/spreadsheetml/2006/main" id="3" name="DevicesTable" displayName="DevicesTable" ref="A1:F6" headerRowCount="1">
  <x:tableColumns count="6">
    <x:tableColumn id="1" name="device_code"/>
    <x:tableColumn id="2" name="device_label"/>
    <x:tableColumn id="3" name="category"/>
    <x:tableColumn id="4" name="typical_volume_ml"/>
    <x:tableColumn id="5" name="ambulatory_use"/>
    <x:tableColumn id="6" name="comment"/>
  </x:tableColumns>
  <x:tableStyleInfo name="TableStyleMedium2" showRowStripes="1"/>
</x:table>
</file>

<file path=xl/tables/table5.xml><?xml version="1.0" encoding="utf-8"?>
<x:table xmlns:x="http://schemas.openxmlformats.org/spreadsheetml/2006/main" id="6" name="FractionnementTable" displayName="FractionnementTable" ref="A1:F48" headerRowCount="1">
  <x:tableColumns count="6">
    <x:tableColumn id="1" name="molecule"/>
    <x:tableColumn id="2" name="standard_fractionation"/>
    <x:tableColumn id="3" name="usual_admin_mode"/>
    <x:tableColumn id="4" name="rcp_comment"/>
    <x:tableColumn id="5" name="validation_status"/>
    <x:tableColumn id="6" name="source_id"/>
  </x:tableColumns>
  <x:tableStyleInfo name="TableStyleMedium2" showRowStripes="1"/>
</x:table>
</file>

<file path=xl/tables/table6.xml><?xml version="1.0" encoding="utf-8"?>
<x:table xmlns:x="http://schemas.openxmlformats.org/spreadsheetml/2006/main" id="5" name="RawImportTable" displayName="RawImportTable" ref="A1:K100" headerRowCount="1">
  <x:tableColumns count="11">
    <x:tableColumn id="1" name="molecule"/>
    <x:tableColumn id="2" name="source"/>
    <x:tableColumn id="3" name="mode"/>
    <x:tableColumn id="4" name="poche"/>
    <x:tableColumn id="5" name="pse"/>
    <x:tableColumn id="6" name="elastomere"/>
    <x:tableColumn id="7" name="anapa"/>
    <x:tableColumn id="8" name="micrel"/>
    <x:tableColumn id="9" name="reco"/>
    <x:tableColumn id="10" name="note"/>
    <x:tableColumn id="11" name="pubmed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a910842a67144e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c784e39eee74f3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3d7ffa200934ae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592b2b6704c4b5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15fe088094d04931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6.xml" Id="Rc5e4d3646c6f4742" /></Relationships>
</file>

<file path=xl/worksheets/sheet1.xml><?xml version="1.0" encoding="utf-8"?>
<x:worksheet xmlns:x="http://schemas.openxmlformats.org/spreadsheetml/2006/main">
  <x:sheetFormatPr defaultRowHeight="15"/>
  <x:cols>
    <x:col min="1" max="1" width="23.549999237060547" hidden="0" customWidth="1"/>
    <x:col min="2" max="2" width="9.289999961853027" hidden="0" customWidth="1"/>
    <x:col min="4" max="4" width="22.610000610351562" hidden="0" customWidth="1"/>
    <x:col min="5" max="5" width="87.08000183105469" hidden="0" customWidth="1"/>
  </x:cols>
  <x:sheetData>
    <x:row r="1" ht="18" customHeight="1">
      <x:c r="A1" s="6" t="str">
        <x:v>Indicateur</x:v>
      </x:c>
      <x:c r="B1" s="6" t="str">
        <x:v>Valeur</x:v>
      </x:c>
      <x:c r="D1" s="6" t="str">
        <x:v>Mode d'emploi synthétique</x:v>
      </x:c>
    </x:row>
    <x:row r="2" ht="18" customHeight="1">
      <x:c r="A2" s="12" t="str">
        <x:v>Lignes Stability</x:v>
      </x:c>
      <x:c r="B2" s="12" t="n">
        <x:f>COUNTA(Stability!A:A)-1</x:f>
        <x:v>122</x:v>
      </x:c>
      <x:c r="D2" s="12" t="str">
        <x:v>1</x:v>
      </x:c>
      <x:c r="E2" s="12" t="str">
        <x:v>Mettre à jour les onglets Sources/Devices/Solvents si besoin.</x:v>
      </x:c>
    </x:row>
    <x:row r="3" ht="18" customHeight="1">
      <x:c r="A3" s="12" t="str">
        <x:v>Molécules uniques</x:v>
      </x:c>
      <x:c r="B3" s="12" t="n">
        <x:f>COUNTA(Molecules!A:A)-1</x:f>
        <x:v>47</x:v>
      </x:c>
      <x:c r="D3" s="12" t="str">
        <x:v>2</x:v>
      </x:c>
      <x:c r="E3" s="12" t="str">
        <x:v>Saisir ou corriger les lignes dans Stability : une ligne = une condition précise.</x:v>
      </x:c>
    </x:row>
    <x:row r="4" ht="18" customHeight="1">
      <x:c r="A4" s="12" t="str">
        <x:v>Sources uniques</x:v>
      </x:c>
      <x:c r="B4" s="12" t="n">
        <x:f>COUNTA(Sources!A:A)-1</x:f>
        <x:v>16</x:v>
      </x:c>
      <x:c r="D4" s="12" t="str">
        <x:v>3</x:v>
      </x:c>
      <x:c r="E4" s="12" t="str">
        <x:v>Renseigner source_quote/source_url puis faire valider expert_validation_status.</x:v>
      </x:c>
    </x:row>
    <x:row r="5" ht="18" customHeight="1">
      <x:c r="A5" s="12" t="str">
        <x:v>Lignes validées avec source</x:v>
      </x:c>
      <x:c r="B5" s="12" t="n">
        <x:f>COUNTIF(Stability!AC:AC,"Validé avec source")</x:f>
        <x:v>0</x:v>
      </x:c>
      <x:c r="D5" s="12" t="str">
        <x:v>4</x:v>
      </x:c>
      <x:c r="E5" s="12" t="str">
        <x:v>Exporter l'Excel en JSON pour le site ; filtrer côté outil sur les lignes validées.</x:v>
      </x:c>
    </x:row>
    <x:row r="6" ht="18" customHeight="1">
      <x:c r="A6" s="12" t="str">
        <x:v>Lignes à vérifier</x:v>
      </x:c>
      <x:c r="B6" s="12" t="n">
        <x:f>COUNTIF(Stability!AC:AC,"À vérifier")</x:f>
        <x:v>122</x:v>
      </x:c>
    </x:row>
    <x:row r="7" ht="18" customHeight="1">
      <x:c r="A7" s="12" t="str">
        <x:v>Alertes critiques</x:v>
      </x:c>
      <x:c r="B7" s="12" t="n">
        <x:f>COUNTIF(Stability!AB:AB,"Critique")</x:f>
        <x:v>21</x:v>
      </x:c>
    </x:row>
    <x:row r="9">
      <x:c r="A9" s="17" t="str">
        <x:v>Pilotage sources</x:v>
      </x:c>
      <x:c r="B9" s="17"/>
      <x:c r="C9" s="17"/>
      <x:c r="D9" s="21" t="str">
        <x:v>Logique d’export</x:v>
      </x:c>
      <x:c r="E9" s="21"/>
    </x:row>
    <x:row r="10">
      <x:c r="A10" s="20" t="str">
        <x:v>Sources activées</x:v>
      </x:c>
      <x:c r="B10" t="n">
        <x:f>COUNTIF(Sources!J:J,"Oui")</x:f>
        <x:v>8</x:v>
      </x:c>
      <x:c r="C10"/>
      <x:c r="D10" s="12" t="str">
        <x:v>Interne</x:v>
      </x:c>
      <x:c r="E10" s="12" t="str">
        <x:v>L’outil interne peut charger les lignes Stability où source_enabled=Oui et include_in_internal_json=Oui.</x:v>
      </x:c>
    </x:row>
    <x:row r="11">
      <x:c r="A11" s="20" t="str">
        <x:v>Sources export public</x:v>
      </x:c>
      <x:c r="B11" t="n">
        <x:f>COUNTIF(Sources!L:L,"Oui")</x:f>
        <x:v>0</x:v>
      </x:c>
      <x:c r="C11"/>
      <x:c r="D11" s="12" t="str">
        <x:v>Public</x:v>
      </x:c>
      <x:c r="E11" s="12" t="str">
        <x:v>Le site public peut charger uniquement les lignes où include_in_public_json=Oui.</x:v>
      </x:c>
    </x:row>
    <x:row r="12">
      <x:c r="A12" s="20" t="str">
        <x:v>Sources internes exportables</x:v>
      </x:c>
      <x:c r="B12" t="n">
        <x:f>COUNTIF(Sources!M:M,"Oui")</x:f>
        <x:v>8</x:v>
      </x:c>
      <x:c r="C12"/>
      <x:c r="D12" s="12" t="str">
        <x:v>Désactivation</x:v>
      </x:c>
      <x:c r="E12" s="12" t="str">
        <x:v>Passer source_enabled à Non masque toutes les lignes rattachées à cette source sans supprimer les données.</x:v>
      </x:c>
    </x:row>
    <x:row r="13">
      <x:c r="A13" s="20" t="str">
        <x:v>Lignes sources actives</x:v>
      </x:c>
      <x:c r="B13" t="n">
        <x:f>COUNTIF(Stability!AJ:AJ,"Oui")</x:f>
        <x:v>35</x:v>
      </x:c>
      <x:c r="C13"/>
      <x:c r="D13" s="12" t="str">
        <x:v>Recommandation</x:v>
      </x:c>
      <x:c r="E13" s="12" t="str">
        <x:v>Garder les sources non validées désactivées ou en Test / sandbox.</x:v>
      </x:c>
    </x:row>
    <x:row r="14">
      <x:c r="A14" s="20" t="str">
        <x:v>Lignes public</x:v>
      </x:c>
      <x:c r="B14" t="n">
        <x:f>COUNTIFS(Stability!AJ:AJ,"Oui",Stability!AL:AL,"Oui")</x:f>
        <x:v>0</x:v>
      </x:c>
      <x:c r="C14"/>
      <x:c r="D14" s="12"/>
      <x:c r="E14" s="12"/>
    </x:row>
    <x:row r="15">
      <x:c r="A15" s="20" t="str">
        <x:v>Lignes internes</x:v>
      </x:c>
      <x:c r="B15" t="n">
        <x:f>COUNTIFS(Stability!AJ:AJ,"Oui",Stability!AM:AM,"Oui")</x:f>
        <x:v>35</x:v>
      </x:c>
      <x:c r="C15"/>
      <x:c r="D15" s="12"/>
      <x:c r="E15" s="12"/>
    </x:row>
    <x:row r="16">
      <x:c r="A16" s="20"/>
      <x:c r="B16"/>
      <x:c r="C16"/>
      <x:c r="D16" s="12"/>
      <x:c r="E16" s="12"/>
    </x:row>
    <x:row r="17">
      <x:c r="A17" s="20" t="str">
        <x:v>À modifier en priorité</x:v>
      </x:c>
      <x:c r="B17" t="str">
        <x:v>Sources!J:O</x:v>
      </x:c>
      <x:c r="C17"/>
      <x:c r="D17" s="12" t="str">
        <x:v>Puis exporter</x:v>
      </x:c>
      <x:c r="E17" s="12" t="str">
        <x:v>Excel → JSON public/interne selon filtres</x:v>
      </x:c>
    </x:row>
    <x:row r="18">
      <x:c r="A18"/>
      <x:c r="B18"/>
      <x:c r="C18"/>
      <x:c r="D18"/>
      <x:c r="E18"/>
    </x:row>
  </x:sheetData>
  <x:mergeCells>
    <x:mergeCell ref="D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0" hidden="0" customWidth="1"/>
    <x:col min="3" max="3" width="7.809999942779541" hidden="0" customWidth="1"/>
    <x:col min="4" max="4" width="34" hidden="0" customWidth="1"/>
    <x:col min="5" max="5" width="11.710000038146973" hidden="0" customWidth="1"/>
    <x:col min="6" max="6" width="10.09000015258789" hidden="0" customWidth="1"/>
    <x:col min="7" max="7" width="19.25" hidden="0" customWidth="1"/>
    <x:col min="8" max="8" width="32" hidden="0" customWidth="1"/>
    <x:col min="9" max="9" width="16.690000534057617" hidden="0" customWidth="1"/>
    <x:col min="10" max="10" width="19.110000610351562" hidden="0" customWidth="1"/>
    <x:col min="11" max="11" width="12.380000114440918" hidden="0" customWidth="1"/>
    <x:col min="12" max="12" width="15.479999542236328" hidden="0" customWidth="1"/>
    <x:col min="13" max="13" width="15.75" hidden="0" customWidth="1"/>
    <x:col min="14" max="14" width="15.609999656677246" hidden="0" customWidth="1"/>
    <x:col min="15" max="15" width="13.1899995803833" hidden="0" customWidth="1"/>
    <x:col min="16" max="16" width="13.59000015258789" hidden="0" customWidth="1"/>
    <x:col min="17" max="17" width="16.149999618530273" hidden="0" customWidth="1"/>
    <x:col min="18" max="18" width="16.549999237060547" hidden="0" customWidth="1"/>
    <x:col min="19" max="19" width="15.210000038146973" hidden="0" customWidth="1"/>
    <x:col min="20" max="20" width="16.549999237060547" hidden="0" customWidth="1"/>
    <x:col min="21" max="21" width="15.609999656677246" hidden="0" customWidth="1"/>
    <x:col min="22" max="22" width="13.0600004196167" hidden="0" customWidth="1"/>
    <x:col min="23" max="23" width="24.5" hidden="0" customWidth="1"/>
    <x:col min="24" max="24" width="17.6299991607666" hidden="0" customWidth="1"/>
    <x:col min="25" max="25" width="20.049999237060547" hidden="0" customWidth="1"/>
    <x:col min="26" max="26" width="17.6299991607666" hidden="0" customWidth="1"/>
    <x:col min="27" max="27" width="48.59000015258789" hidden="0" customWidth="1"/>
    <x:col min="28" max="28" width="11.4399995803833" hidden="0" customWidth="1"/>
    <x:col min="29" max="29" width="20.190000534057617" hidden="0" customWidth="1"/>
    <x:col min="30" max="30" width="13.460000038146973" hidden="0" customWidth="1"/>
    <x:col min="31" max="31" width="12.649999618530273" hidden="0" customWidth="1"/>
    <x:col min="32" max="32" width="38" hidden="0" customWidth="1"/>
    <x:col min="33" max="33" width="38" hidden="0" customWidth="1"/>
    <x:col min="34" max="34" width="38" hidden="0" customWidth="1"/>
    <x:col min="35" max="35" width="38" hidden="0" customWidth="1"/>
  </x:cols>
  <x:sheetData>
    <x:row r="1" ht="18" customHeight="1">
      <x:c r="A1" s="15" t="str">
        <x:v>id</x:v>
      </x:c>
      <x:c r="B1" s="15" t="str">
        <x:v>molecule</x:v>
      </x:c>
      <x:c r="C1" s="15" t="str">
        <x:v>source_id</x:v>
      </x:c>
      <x:c r="D1" s="15" t="str">
        <x:v>source_name</x:v>
      </x:c>
      <x:c r="E1" s="15" t="str">
        <x:v>source_type</x:v>
      </x:c>
      <x:c r="F1" s="15" t="str">
        <x:v>device_code</x:v>
      </x:c>
      <x:c r="G1" s="15" t="str">
        <x:v>device_label</x:v>
      </x:c>
      <x:c r="H1" s="15" t="str">
        <x:v>administration_mode</x:v>
      </x:c>
      <x:c r="I1" s="15" t="str">
        <x:v>continuous_possible</x:v>
      </x:c>
      <x:c r="J1" s="15" t="str">
        <x:v>discontinuous_possible</x:v>
      </x:c>
      <x:c r="K1" s="15" t="str">
        <x:v>solvent</x:v>
      </x:c>
      <x:c r="L1" s="15" t="str">
        <x:v>concentration_min</x:v>
      </x:c>
      <x:c r="M1" s="15" t="str">
        <x:v>concentration_max</x:v>
      </x:c>
      <x:c r="N1" s="15" t="str">
        <x:v>concentration_unit</x:v>
      </x:c>
      <x:c r="O1" s="15" t="str">
        <x:v>volume_min_ml</x:v>
      </x:c>
      <x:c r="P1" s="15" t="str">
        <x:v>volume_max_ml</x:v>
      </x:c>
      <x:c r="Q1" s="15" t="str">
        <x:v>temperature_min_c</x:v>
      </x:c>
      <x:c r="R1" s="15" t="str">
        <x:v>temperature_max_c</x:v>
      </x:c>
      <x:c r="S1" s="15" t="str">
        <x:v>temperature_label</x:v>
      </x:c>
      <x:c r="T1" s="15" t="str">
        <x:v>stability_duration_h</x:v>
      </x:c>
      <x:c r="U1" s="15" t="str">
        <x:v>runout_duration_h</x:v>
      </x:c>
      <x:c r="V1" s="15" t="str">
        <x:v>light_protection</x:v>
      </x:c>
      <x:c r="W1" s="15" t="str">
        <x:v>hydric_restriction_compatible</x:v>
      </x:c>
      <x:c r="X1" s="15" t="str">
        <x:v>central_line_required</x:v>
      </x:c>
      <x:c r="Y1" s="15" t="str">
        <x:v>peripheral_line_possible</x:v>
      </x:c>
      <x:c r="Z1" s="15" t="str">
        <x:v>y_site_data_available</x:v>
      </x:c>
      <x:c r="AA1" s="15" t="str">
        <x:v>recommendation</x:v>
      </x:c>
      <x:c r="AB1" s="15" t="str">
        <x:v>warning_level</x:v>
      </x:c>
      <x:c r="AC1" s="15" t="str">
        <x:v>expert_validation_status</x:v>
      </x:c>
      <x:c r="AD1" s="15" t="str">
        <x:v>expert_validator</x:v>
      </x:c>
      <x:c r="AE1" s="15" t="str">
        <x:v>validation_date</x:v>
      </x:c>
      <x:c r="AF1" s="15" t="str">
        <x:v>condition_text</x:v>
      </x:c>
      <x:c r="AG1" s="15" t="str">
        <x:v>comment</x:v>
      </x:c>
      <x:c r="AH1" s="15" t="str">
        <x:v>source_quote</x:v>
      </x:c>
      <x:c r="AI1" s="15" t="str">
        <x:v>source_url</x:v>
      </x:c>
      <x:c r="AJ1" s="15" t="str">
        <x:v>source_enabled</x:v>
      </x:c>
      <x:c r="AK1" s="15" t="str">
        <x:v>visibility_scope</x:v>
      </x:c>
      <x:c r="AL1" s="15" t="str">
        <x:v>include_in_public_json</x:v>
      </x:c>
      <x:c r="AM1" s="15" t="str">
        <x:v>include_in_internal_json</x:v>
      </x:c>
      <x:c r="AN1" s="15" t="str">
        <x:v>source_status</x:v>
      </x:c>
    </x:row>
    <x:row r="2" ht="18" customHeight="1">
      <x:c r="A2" s="12" t="str">
        <x:v>STAB0001</x:v>
      </x:c>
      <x:c r="B2" s="12" t="str">
        <x:v>Aciclovir</x:v>
      </x:c>
      <x:c r="C2" s="12" t="str">
        <x:v>SRC006</x:v>
      </x:c>
      <x:c r="D2" s="12" t="str">
        <x:v>Centre Léon Bérard – HAD + doc interne récent</x:v>
      </x:c>
      <x:c r="E2" s="12" t="str">
        <x:v>Protocole local</x:v>
      </x:c>
      <x:c r="F2" s="12" t="str">
        <x:v>poche</x:v>
      </x:c>
      <x:c r="G2" s="12" t="str">
        <x:v>Poche soluté classique</x:v>
      </x:c>
      <x:c r="H2" s="12" t="str">
        <x:v>Discontinue recommandée ; perfusion ≥60 min ; continu non standard</x:v>
      </x:c>
      <x:c r="I2" s="12" t="str">
        <x:v>Oui</x:v>
      </x:c>
      <x:c r="J2" s="12" t="str">
        <x:v>Oui</x:v>
      </x:c>
      <x:c r="K2" s="12" t="str">
        <x:v>NaCl 0,9 % / G5</x:v>
      </x:c>
      <x:c r="L2" s="12"/>
      <x:c r="M2" s="12" t="n">
        <x:v>5</x:v>
      </x:c>
      <x:c r="N2" s="12" t="str">
        <x:v>mg/mL</x:v>
      </x:c>
      <x:c r="O2" s="12"/>
      <x:c r="P2" s="12"/>
      <x:c r="Q2" s="12"/>
      <x:c r="R2" s="12"/>
      <x:c r="S2" s="12" t="str">
        <x:v>RT</x:v>
      </x:c>
      <x:c r="T2" s="12" t="n">
        <x:v>12</x:v>
      </x:c>
      <x:c r="U2" s="12"/>
      <x:c r="V2" s="12" t="str"/>
      <x:c r="W2" s="12" t="str"/>
      <x:c r="X2" s="12" t="str"/>
      <x:c r="Y2" s="12" t="str"/>
      <x:c r="Z2" s="12" t="str">
        <x:v>À compléter</x:v>
      </x:c>
      <x:c r="AA2" s="12" t="str">
        <x:v>Discontinue</x:v>
      </x:c>
      <x:c r="AB2" s="12" t="str">
        <x:v>Vigilance</x:v>
      </x:c>
      <x:c r="AC2" s="12" t="str">
        <x:v>À vérifier</x:v>
      </x:c>
      <x:c r="AD2" s="12" t="str"/>
      <x:c r="AE2" s="12" t="str"/>
      <x:c r="AF2" s="12" t="str">
        <x:v>NaCl/G5 ; conc max 5 mg/mL ; stab 12 h RT</x:v>
      </x:c>
      <x:c r="AG2" s="12" t="str">
        <x:v>Perfusion lente recommandée ; vigilance rénale et extravasation.</x:v>
      </x:c>
      <x:c r="AH2" s="12" t="str"/>
      <x:c r="AI2" s="12" t="str"/>
      <x:c r="AJ2" t="str">
        <x:f>XLOOKUP(C2,Sources!$A:$A,Sources!$J:$J,"Non")</x:f>
        <x:v>Oui</x:v>
      </x:c>
      <x:c r="AK2" t="str">
        <x:f>XLOOKUP(C2,Sources!$A:$A,Sources!$K:$K,"À décider")</x:f>
        <x:v>Interne hôpital</x:v>
      </x:c>
      <x:c r="AL2" t="str">
        <x:f>XLOOKUP(C2,Sources!$A:$A,Sources!$L:$L,"Non")</x:f>
        <x:v>Non</x:v>
      </x:c>
      <x:c r="AM2" t="str">
        <x:f>XLOOKUP(C2,Sources!$A:$A,Sources!$M:$M,"Non")</x:f>
        <x:v>Oui</x:v>
      </x:c>
      <x:c r="AN2" t="str">
        <x:f>XLOOKUP(C2,Sources!$A:$A,Sources!$N:$N,"À valider")</x:f>
        <x:v>À valider</x:v>
      </x:c>
    </x:row>
    <x:row r="3" ht="18" customHeight="1">
      <x:c r="A3" s="12" t="str">
        <x:v>STAB0002</x:v>
      </x:c>
      <x:c r="B3" s="12" t="str">
        <x:v>Aciclovir</x:v>
      </x:c>
      <x:c r="C3" s="12" t="str">
        <x:v>SRC001</x:v>
      </x:c>
      <x:c r="D3" s="12" t="str">
        <x:v>ANAPA – données internes du laboratoire</x:v>
      </x:c>
      <x:c r="E3" s="12" t="str">
        <x:v>Protocole local</x:v>
      </x:c>
      <x:c r="F3" s="12" t="str">
        <x:v>anapa</x:v>
      </x:c>
      <x:c r="G3" s="12" t="str">
        <x:v>ANAPA</x:v>
      </x:c>
      <x:c r="H3" s="12" t="str">
        <x:v>Administration ambulatoire testée sur diffuseur non élastomère ANAPA</x:v>
      </x:c>
      <x:c r="I3" s="12" t="str">
        <x:v>Non</x:v>
      </x:c>
      <x:c r="J3" s="12" t="str">
        <x:v>Non</x:v>
      </x:c>
      <x:c r="K3" s="12" t="str">
        <x:v>Non précisé</x:v>
      </x:c>
      <x:c r="L3" s="12"/>
      <x:c r="M3" s="12" t="n">
        <x:v>10</x:v>
      </x:c>
      <x:c r="N3" s="12" t="str">
        <x:v>mg/mL</x:v>
      </x:c>
      <x:c r="O3" s="12"/>
      <x:c r="P3" s="12"/>
      <x:c r="Q3" s="12" t="n">
        <x:v>5</x:v>
      </x:c>
      <x:c r="R3" s="12" t="n">
        <x:v>30</x:v>
      </x:c>
      <x:c r="S3" s="12" t="str">
        <x:v>RT, 5°C, 30°C</x:v>
      </x:c>
      <x:c r="T3" s="12" t="n">
        <x:v>168</x:v>
      </x:c>
      <x:c r="U3" s="12" t="n">
        <x:v>20</x:v>
      </x:c>
      <x:c r="V3" s="12" t="str"/>
      <x:c r="W3" s="12" t="str"/>
      <x:c r="X3" s="12" t="str"/>
      <x:c r="Y3" s="12" t="str"/>
      <x:c r="Z3" s="12" t="str">
        <x:v>À compléter</x:v>
      </x:c>
      <x:c r="AA3" s="12" t="str">
        <x:v>ANAPA possible selon conditions testées</x:v>
      </x:c>
      <x:c r="AB3" s="12" t="str">
        <x:v>Vigilance</x:v>
      </x:c>
      <x:c r="AC3" s="12" t="str">
        <x:v>À vérifier</x:v>
      </x:c>
      <x:c r="AD3" s="12" t="str"/>
      <x:c r="AE3" s="12" t="str"/>
      <x:c r="AF3" s="12" t="str">
        <x:v>Soluté non précisé ; conc 10 mg/mL ; stab 3 j à 5°C ou 30°C + run-out 20 h ; 7 j RT + run-out</x:v>
      </x:c>
      <x:c r="AG3" s="12" t="str">
        <x:v>ANAPA est séparé des diffuseurs élastomères.</x:v>
      </x:c>
      <x:c r="AH3" s="12" t="str"/>
      <x:c r="AI3" s="12" t="str"/>
      <x:c r="AJ3" t="str">
        <x:f>XLOOKUP(C3,Sources!$A:$A,Sources!$J:$J,"Non")</x:f>
        <x:v>Non</x:v>
      </x:c>
      <x:c r="AK3" t="str">
        <x:f>XLOOKUP(C3,Sources!$A:$A,Sources!$K:$K,"À décider")</x:f>
        <x:v>À décider</x:v>
      </x:c>
      <x:c r="AL3" t="str">
        <x:f>XLOOKUP(C3,Sources!$A:$A,Sources!$L:$L,"Non")</x:f>
        <x:v>Non</x:v>
      </x:c>
      <x:c r="AM3" t="str">
        <x:f>XLOOKUP(C3,Sources!$A:$A,Sources!$M:$M,"Non")</x:f>
        <x:v>Non</x:v>
      </x:c>
      <x:c r="AN3" t="str">
        <x:f>XLOOKUP(C3,Sources!$A:$A,Sources!$N:$N,"À valider")</x:f>
        <x:v>À valider</x:v>
      </x:c>
    </x:row>
    <x:row r="4" ht="18" customHeight="1">
      <x:c r="A4" s="12" t="str">
        <x:v>STAB0003</x:v>
      </x:c>
      <x:c r="B4" s="12" t="str">
        <x:v>Amikacine</x:v>
      </x:c>
      <x:c r="C4" s="12" t="str">
        <x:v>SRC003</x:v>
      </x:c>
      <x:c r="D4" s="12" t="str">
        <x:v>CH de Tourcoing 2017 + doc interne récent</x:v>
      </x:c>
      <x:c r="E4" s="12" t="str">
        <x:v>Protocole local</x:v>
      </x:c>
      <x:c r="F4" s="12" t="str">
        <x:v>poche</x:v>
      </x:c>
      <x:c r="G4" s="12" t="str">
        <x:v>Poche soluté classique</x:v>
      </x:c>
      <x:c r="H4" s="12" t="str">
        <x:v>Discontinue recommandée ; perfusion 30 min ; continu non recommandé</x:v>
      </x:c>
      <x:c r="I4" s="12" t="str">
        <x:v>Oui</x:v>
      </x:c>
      <x:c r="J4" s="12" t="str">
        <x:v>Oui</x:v>
      </x:c>
      <x:c r="K4" s="12" t="str">
        <x:v>NaCl 0,9 % / G5</x:v>
      </x:c>
      <x:c r="L4" s="12"/>
      <x:c r="M4" s="12" t="n">
        <x:v>20</x:v>
      </x:c>
      <x:c r="N4" s="12" t="str">
        <x:v>mg/mL</x:v>
      </x:c>
      <x:c r="O4" s="12"/>
      <x:c r="P4" s="12"/>
      <x:c r="Q4" s="12"/>
      <x:c r="R4" s="12"/>
      <x:c r="S4" s="12" t="str">
        <x:v>RT</x:v>
      </x:c>
      <x:c r="T4" s="12" t="n">
        <x:v>24</x:v>
      </x:c>
      <x:c r="U4" s="12"/>
      <x:c r="V4" s="12" t="str"/>
      <x:c r="W4" s="12" t="str"/>
      <x:c r="X4" s="12" t="str"/>
      <x:c r="Y4" s="12" t="str"/>
      <x:c r="Z4" s="12" t="str">
        <x:v>À compléter</x:v>
      </x:c>
      <x:c r="AA4" s="12" t="str">
        <x:v>Discontinue</x:v>
      </x:c>
      <x:c r="AB4" s="12" t="str">
        <x:v>OK</x:v>
      </x:c>
      <x:c r="AC4" s="12" t="str">
        <x:v>À vérifier</x:v>
      </x:c>
      <x:c r="AD4" s="12" t="str"/>
      <x:c r="AE4" s="12" t="str"/>
      <x:c r="AF4" s="12" t="str">
        <x:v>NaCl/G5 ; conc max 20 mg/mL ; stab 24 h RT</x:v>
      </x:c>
      <x:c r="AG4" s="12" t="str">
        <x:v>Aminoside : administration discontinue avec suivi pharmacologique.</x:v>
      </x:c>
      <x:c r="AH4" s="12" t="str"/>
      <x:c r="AI4" s="12" t="str"/>
      <x:c r="AJ4" t="str">
        <x:f>XLOOKUP(C4,Sources!$A:$A,Sources!$J:$J,"Non")</x:f>
        <x:v>Oui</x:v>
      </x:c>
      <x:c r="AK4" t="str">
        <x:f>XLOOKUP(C4,Sources!$A:$A,Sources!$K:$K,"À décider")</x:f>
        <x:v>Interne hôpital</x:v>
      </x:c>
      <x:c r="AL4" t="str">
        <x:f>XLOOKUP(C4,Sources!$A:$A,Sources!$L:$L,"Non")</x:f>
        <x:v>Non</x:v>
      </x:c>
      <x:c r="AM4" t="str">
        <x:f>XLOOKUP(C4,Sources!$A:$A,Sources!$M:$M,"Non")</x:f>
        <x:v>Oui</x:v>
      </x:c>
      <x:c r="AN4" t="str">
        <x:f>XLOOKUP(C4,Sources!$A:$A,Sources!$N:$N,"À valider")</x:f>
        <x:v>À valider</x:v>
      </x:c>
    </x:row>
    <x:row r="5" ht="18" customHeight="1">
      <x:c r="A5" s="12" t="str">
        <x:v>STAB0004</x:v>
      </x:c>
      <x:c r="B5" s="12" t="str">
        <x:v>Amikacine</x:v>
      </x:c>
      <x:c r="C5" s="12" t="str">
        <x:v>SRC003</x:v>
      </x:c>
      <x:c r="D5" s="12" t="str">
        <x:v>CH de Tourcoing 2017 + doc interne récent</x:v>
      </x:c>
      <x:c r="E5" s="12" t="str">
        <x:v>Protocole local</x:v>
      </x:c>
      <x:c r="F5" s="12" t="str">
        <x:v>pse</x:v>
      </x:c>
      <x:c r="G5" s="12" t="str">
        <x:v>PSE seringue PP</x:v>
      </x:c>
      <x:c r="H5" s="12" t="str">
        <x:v>Discontinue recommandée ; perfusion 30 min ; continu non recommandé</x:v>
      </x:c>
      <x:c r="I5" s="12" t="str">
        <x:v>Oui</x:v>
      </x:c>
      <x:c r="J5" s="12" t="str">
        <x:v>Oui</x:v>
      </x:c>
      <x:c r="K5" s="12" t="str"/>
      <x:c r="L5" s="12"/>
      <x:c r="M5" s="12"/>
      <x:c r="N5" s="12" t="str"/>
      <x:c r="O5" s="12"/>
      <x:c r="P5" s="12"/>
      <x:c r="Q5" s="12"/>
      <x:c r="R5" s="12"/>
      <x:c r="S5" s="12" t="str"/>
      <x:c r="T5" s="12"/>
      <x:c r="U5" s="12"/>
      <x:c r="V5" s="12" t="str"/>
      <x:c r="W5" s="12" t="str"/>
      <x:c r="X5" s="12" t="str"/>
      <x:c r="Y5" s="12" t="str"/>
      <x:c r="Z5" s="12" t="str">
        <x:v>À compléter</x:v>
      </x:c>
      <x:c r="AA5" s="12" t="str">
        <x:v>Discontinue</x:v>
      </x:c>
      <x:c r="AB5" s="12" t="str">
        <x:v>OK</x:v>
      </x:c>
      <x:c r="AC5" s="12" t="str">
        <x:v>À vérifier</x:v>
      </x:c>
      <x:c r="AD5" s="12" t="str"/>
      <x:c r="AE5" s="12" t="str"/>
      <x:c r="AF5" s="12" t="str">
        <x:v>Pas de PSE continu ; IVSE intermittent uniquement</x:v>
      </x:c>
      <x:c r="AG5" s="12" t="str">
        <x:v>Aminoside : administration discontinue avec suivi pharmacologique.</x:v>
      </x:c>
      <x:c r="AH5" s="12" t="str"/>
      <x:c r="AI5" s="12" t="str"/>
      <x:c r="AJ5" t="str">
        <x:f>XLOOKUP(C5,Sources!$A:$A,Sources!$J:$J,"Non")</x:f>
        <x:v>Oui</x:v>
      </x:c>
      <x:c r="AK5" t="str">
        <x:f>XLOOKUP(C5,Sources!$A:$A,Sources!$K:$K,"À décider")</x:f>
        <x:v>Interne hôpital</x:v>
      </x:c>
      <x:c r="AL5" t="str">
        <x:f>XLOOKUP(C5,Sources!$A:$A,Sources!$L:$L,"Non")</x:f>
        <x:v>Non</x:v>
      </x:c>
      <x:c r="AM5" t="str">
        <x:f>XLOOKUP(C5,Sources!$A:$A,Sources!$M:$M,"Non")</x:f>
        <x:v>Oui</x:v>
      </x:c>
      <x:c r="AN5" t="str">
        <x:f>XLOOKUP(C5,Sources!$A:$A,Sources!$N:$N,"À valider")</x:f>
        <x:v>À valider</x:v>
      </x:c>
    </x:row>
    <x:row r="6" ht="18" customHeight="1">
      <x:c r="A6" s="12" t="str">
        <x:v>STAB0005</x:v>
      </x:c>
      <x:c r="B6" s="12" t="str">
        <x:v>Amikacine</x:v>
      </x:c>
      <x:c r="C6" s="12" t="str">
        <x:v>SRC001</x:v>
      </x:c>
      <x:c r="D6" s="12" t="str">
        <x:v>ANAPA – données internes du laboratoire</x:v>
      </x:c>
      <x:c r="E6" s="12" t="str">
        <x:v>Protocole local</x:v>
      </x:c>
      <x:c r="F6" s="12" t="str">
        <x:v>anapa</x:v>
      </x:c>
      <x:c r="G6" s="12" t="str">
        <x:v>ANAPA</x:v>
      </x:c>
      <x:c r="H6" s="12" t="str">
        <x:v>Administration ambulatoire testée sur diffuseur non élastomère ANAPA</x:v>
      </x:c>
      <x:c r="I6" s="12" t="str">
        <x:v>Oui</x:v>
      </x:c>
      <x:c r="J6" s="12" t="str">
        <x:v>Non</x:v>
      </x:c>
      <x:c r="K6" s="12" t="str">
        <x:v>Non précisé</x:v>
      </x:c>
      <x:c r="L6" s="12"/>
      <x:c r="M6" s="12" t="n">
        <x:v>5</x:v>
      </x:c>
      <x:c r="N6" s="12" t="str">
        <x:v>mg/mL</x:v>
      </x:c>
      <x:c r="O6" s="12"/>
      <x:c r="P6" s="12"/>
      <x:c r="Q6" s="12" t="n">
        <x:v>5</x:v>
      </x:c>
      <x:c r="R6" s="12" t="n">
        <x:v>30</x:v>
      </x:c>
      <x:c r="S6" s="12" t="str">
        <x:v>RT, 5°C, 30°C</x:v>
      </x:c>
      <x:c r="T6" s="12" t="n">
        <x:v>168</x:v>
      </x:c>
      <x:c r="U6" s="12" t="n">
        <x:v>20</x:v>
      </x:c>
      <x:c r="V6" s="12" t="str"/>
      <x:c r="W6" s="12" t="str"/>
      <x:c r="X6" s="12" t="str"/>
      <x:c r="Y6" s="12" t="str"/>
      <x:c r="Z6" s="12" t="str">
        <x:v>À compléter</x:v>
      </x:c>
      <x:c r="AA6" s="12" t="str">
        <x:v>ANAPA possible selon conditions testées</x:v>
      </x:c>
      <x:c r="AB6" s="12" t="str">
        <x:v>Vigilance</x:v>
      </x:c>
      <x:c r="AC6" s="12" t="str">
        <x:v>À vérifier</x:v>
      </x:c>
      <x:c r="AD6" s="12" t="str"/>
      <x:c r="AE6" s="12" t="str"/>
      <x:c r="AF6" s="12" t="str">
        <x:v>Soluté non précisé ; conc 5 mg/mL ; stab 72 h à 30°C + run-out 20 h ; 72 h à 5°C + run-out ; 7 j RT + run-out</x:v>
      </x:c>
      <x:c r="AG6" s="12" t="str">
        <x:v>Stabilité physicochimique ≠ recommandation clinique de continu.</x:v>
      </x:c>
      <x:c r="AH6" s="12" t="str"/>
      <x:c r="AI6" s="12" t="str"/>
      <x:c r="AJ6" t="str">
        <x:f>XLOOKUP(C6,Sources!$A:$A,Sources!$J:$J,"Non")</x:f>
        <x:v>Non</x:v>
      </x:c>
      <x:c r="AK6" t="str">
        <x:f>XLOOKUP(C6,Sources!$A:$A,Sources!$K:$K,"À décider")</x:f>
        <x:v>À décider</x:v>
      </x:c>
      <x:c r="AL6" t="str">
        <x:f>XLOOKUP(C6,Sources!$A:$A,Sources!$L:$L,"Non")</x:f>
        <x:v>Non</x:v>
      </x:c>
      <x:c r="AM6" t="str">
        <x:f>XLOOKUP(C6,Sources!$A:$A,Sources!$M:$M,"Non")</x:f>
        <x:v>Non</x:v>
      </x:c>
      <x:c r="AN6" t="str">
        <x:f>XLOOKUP(C6,Sources!$A:$A,Sources!$N:$N,"À valider")</x:f>
        <x:v>À valider</x:v>
      </x:c>
    </x:row>
    <x:row r="7" ht="18" customHeight="1">
      <x:c r="A7" s="12" t="str">
        <x:v>STAB0006</x:v>
      </x:c>
      <x:c r="B7" s="12" t="str">
        <x:v>Amikacine</x:v>
      </x:c>
      <x:c r="C7" s="12" t="str">
        <x:v>SRC010</x:v>
      </x:c>
      <x:c r="D7" s="12" t="str">
        <x:v>Micrel – données internes du laboratoire</x:v>
      </x:c>
      <x:c r="E7" s="12" t="str">
        <x:v>Protocole local</x:v>
      </x:c>
      <x:c r="F7" s="12" t="str">
        <x:v>micrel</x:v>
      </x:c>
      <x:c r="G7" s="12" t="str">
        <x:v>Pompe Rythmic / Micrel</x:v>
      </x:c>
      <x:c r="H7" s="12" t="str">
        <x:v>Pompe Rythmic PVC</x:v>
      </x:c>
      <x:c r="I7" s="12" t="str">
        <x:v>Non</x:v>
      </x:c>
      <x:c r="J7" s="12" t="str">
        <x:v>Non</x:v>
      </x:c>
      <x:c r="K7" s="12" t="str">
        <x:v>NaCl 0,9 %</x:v>
      </x:c>
      <x:c r="L7" s="12" t="n">
        <x:v>0.25</x:v>
      </x:c>
      <x:c r="M7" s="12" t="n">
        <x:v>20</x:v>
      </x:c>
      <x:c r="N7" s="12" t="str">
        <x:v>mg/mL</x:v>
      </x:c>
      <x:c r="O7" s="12"/>
      <x:c r="P7" s="12"/>
      <x:c r="Q7" s="12"/>
      <x:c r="R7" s="12"/>
      <x:c r="S7" s="12" t="str">
        <x:v>RT</x:v>
      </x:c>
      <x:c r="T7" s="12" t="n">
        <x:v>672</x:v>
      </x:c>
      <x:c r="U7" s="12"/>
      <x:c r="V7" s="12" t="str"/>
      <x:c r="W7" s="12" t="str"/>
      <x:c r="X7" s="12" t="str"/>
      <x:c r="Y7" s="12" t="str"/>
      <x:c r="Z7" s="12" t="str">
        <x:v>À compléter</x:v>
      </x:c>
      <x:c r="AA7" s="12" t="str">
        <x:v>Donnée contenant Micrel uniquement</x:v>
      </x:c>
      <x:c r="AB7" s="12" t="str">
        <x:v>Critique</x:v>
      </x:c>
      <x:c r="AC7" s="12" t="str">
        <x:v>À vérifier</x:v>
      </x:c>
      <x:c r="AD7" s="12" t="str"/>
      <x:c r="AE7" s="12" t="str"/>
      <x:c r="AF7" s="12" t="str">
        <x:v>NaCl 0,9 % ; conc 0,25–20 mg/mL ; stab FT 28 j ; RT 48 h</x:v>
      </x:c>
      <x:c r="AG7" s="12" t="str">
        <x:v>Ne pas extrapoler hors consommables Rythmic compatibles.</x:v>
      </x:c>
      <x:c r="AH7" s="12" t="str"/>
      <x:c r="AI7" s="12" t="str"/>
      <x:c r="AJ7" t="str">
        <x:f>XLOOKUP(C7,Sources!$A:$A,Sources!$J:$J,"Non")</x:f>
        <x:v>Non</x:v>
      </x:c>
      <x:c r="AK7" t="str">
        <x:f>XLOOKUP(C7,Sources!$A:$A,Sources!$K:$K,"À décider")</x:f>
        <x:v>À décider</x:v>
      </x:c>
      <x:c r="AL7" t="str">
        <x:f>XLOOKUP(C7,Sources!$A:$A,Sources!$L:$L,"Non")</x:f>
        <x:v>Non</x:v>
      </x:c>
      <x:c r="AM7" t="str">
        <x:f>XLOOKUP(C7,Sources!$A:$A,Sources!$M:$M,"Non")</x:f>
        <x:v>Non</x:v>
      </x:c>
      <x:c r="AN7" t="str">
        <x:f>XLOOKUP(C7,Sources!$A:$A,Sources!$N:$N,"À valider")</x:f>
        <x:v>À valider</x:v>
      </x:c>
    </x:row>
    <x:row r="8" ht="18" customHeight="1">
      <x:c r="A8" s="12" t="str">
        <x:v>STAB0007</x:v>
      </x:c>
      <x:c r="B8" s="12" t="str">
        <x:v>Amoxicilline</x:v>
      </x:c>
      <x:c r="C8" s="12" t="str">
        <x:v>SRC014</x:v>
      </x:c>
      <x:c r="D8" s="12" t="str">
        <x:v>SPILF/SFPC 2025</x:v>
      </x:c>
      <x:c r="E8" s="12" t="str">
        <x:v>Guideline</x:v>
      </x:c>
      <x:c r="F8" s="12" t="str">
        <x:v>poche</x:v>
      </x:c>
      <x:c r="G8" s="12" t="str">
        <x:v>Poche soluté classique</x:v>
      </x:c>
      <x:c r="H8" s="12" t="str">
        <x:v>Continu possible mais fractionné</x:v>
      </x:c>
      <x:c r="I8" s="12" t="str">
        <x:v>Oui</x:v>
      </x:c>
      <x:c r="J8" s="12" t="str">
        <x:v>Non</x:v>
      </x:c>
      <x:c r="K8" s="12" t="str">
        <x:v>NaCl 0,9 % / G5</x:v>
      </x:c>
      <x:c r="L8" s="12"/>
      <x:c r="M8" s="12" t="n">
        <x:v>5</x:v>
      </x:c>
      <x:c r="N8" s="12" t="str">
        <x:v>mg/mL</x:v>
      </x:c>
      <x:c r="O8" s="12"/>
      <x:c r="P8" s="12"/>
      <x:c r="Q8" s="12"/>
      <x:c r="R8" s="12"/>
      <x:c r="S8" s="12" t="str"/>
      <x:c r="T8" s="12" t="n">
        <x:v>24</x:v>
      </x:c>
      <x:c r="U8" s="12"/>
      <x:c r="V8" s="12" t="str"/>
      <x:c r="W8" s="12" t="str"/>
      <x:c r="X8" s="12" t="str"/>
      <x:c r="Y8" s="12" t="str"/>
      <x:c r="Z8" s="12" t="str">
        <x:v>À compléter</x:v>
      </x:c>
      <x:c r="AA8" s="12" t="str">
        <x:v>Continu fractionné</x:v>
      </x:c>
      <x:c r="AB8" s="12" t="str">
        <x:v>Vigilance</x:v>
      </x:c>
      <x:c r="AC8" s="12" t="str">
        <x:v>À vérifier</x:v>
      </x:c>
      <x:c r="AD8" s="12" t="str"/>
      <x:c r="AE8" s="12" t="str"/>
      <x:c r="AF8" s="12" t="str">
        <x:v>NaCl 0,9 % ; conc 5 mg/mL ; stab 24 h / NaCl 0,9 % ; conc 20 mg/mL ; stab 12 h / G5 ; conc 10 mg/mL ; stab 2 h / G5 ; conc 50 mg/mL ; stab 1 h ; G5 déconseillé en prolongé</x:v>
      </x:c>
      <x:c r="AG8" s="12" t="str">
        <x:v>Forte dépendance à la concentration et au solvant.</x:v>
      </x:c>
      <x:c r="AH8" s="12" t="str"/>
      <x:c r="AI8" s="12" t="str"/>
      <x:c r="AJ8" t="str">
        <x:f>XLOOKUP(C8,Sources!$A:$A,Sources!$J:$J,"Non")</x:f>
        <x:v>Non</x:v>
      </x:c>
      <x:c r="AK8" t="str">
        <x:f>XLOOKUP(C8,Sources!$A:$A,Sources!$K:$K,"À décider")</x:f>
        <x:v>À décider</x:v>
      </x:c>
      <x:c r="AL8" t="str">
        <x:f>XLOOKUP(C8,Sources!$A:$A,Sources!$L:$L,"Non")</x:f>
        <x:v>Non</x:v>
      </x:c>
      <x:c r="AM8" t="str">
        <x:f>XLOOKUP(C8,Sources!$A:$A,Sources!$M:$M,"Non")</x:f>
        <x:v>Non</x:v>
      </x:c>
      <x:c r="AN8" t="str">
        <x:f>XLOOKUP(C8,Sources!$A:$A,Sources!$N:$N,"À valider")</x:f>
        <x:v>À valider</x:v>
      </x:c>
    </x:row>
    <x:row r="9" ht="18" customHeight="1">
      <x:c r="A9" s="12" t="str">
        <x:v>STAB0008</x:v>
      </x:c>
      <x:c r="B9" s="12" t="str">
        <x:v>Amoxicilline</x:v>
      </x:c>
      <x:c r="C9" s="12" t="str">
        <x:v>SRC014</x:v>
      </x:c>
      <x:c r="D9" s="12" t="str">
        <x:v>SPILF/SFPC 2025</x:v>
      </x:c>
      <x:c r="E9" s="12" t="str">
        <x:v>Guideline</x:v>
      </x:c>
      <x:c r="F9" s="12" t="str">
        <x:v>pse</x:v>
      </x:c>
      <x:c r="G9" s="12" t="str">
        <x:v>PSE seringue PP</x:v>
      </x:c>
      <x:c r="H9" s="12" t="str">
        <x:v>Continu possible mais fractionné</x:v>
      </x:c>
      <x:c r="I9" s="12" t="str">
        <x:v>Oui</x:v>
      </x:c>
      <x:c r="J9" s="12" t="str">
        <x:v>Non</x:v>
      </x:c>
      <x:c r="K9" s="12" t="str">
        <x:v>NaCl 0,9 %</x:v>
      </x:c>
      <x:c r="L9" s="12"/>
      <x:c r="M9" s="12" t="n">
        <x:v>20</x:v>
      </x:c>
      <x:c r="N9" s="12" t="str">
        <x:v>mg/mL</x:v>
      </x:c>
      <x:c r="O9" s="12"/>
      <x:c r="P9" s="12"/>
      <x:c r="Q9" s="12"/>
      <x:c r="R9" s="12"/>
      <x:c r="S9" s="12" t="str"/>
      <x:c r="T9" s="12" t="n">
        <x:v>24</x:v>
      </x:c>
      <x:c r="U9" s="12"/>
      <x:c r="V9" s="12" t="str"/>
      <x:c r="W9" s="12" t="str"/>
      <x:c r="X9" s="12" t="str"/>
      <x:c r="Y9" s="12" t="str"/>
      <x:c r="Z9" s="12" t="str">
        <x:v>À compléter</x:v>
      </x:c>
      <x:c r="AA9" s="12" t="str">
        <x:v>Continu fractionné</x:v>
      </x:c>
      <x:c r="AB9" s="12" t="str">
        <x:v>Vigilance</x:v>
      </x:c>
      <x:c r="AC9" s="12" t="str">
        <x:v>À vérifier</x:v>
      </x:c>
      <x:c r="AD9" s="12" t="str"/>
      <x:c r="AE9" s="12" t="str"/>
      <x:c r="AF9" s="12" t="str">
        <x:v>NaCl 0,9 % ; conc max 20 mg/mL ; PSE 24 h non retenu ; préférer pompe/fractionnement 12 h</x:v>
      </x:c>
      <x:c r="AG9" s="12" t="str">
        <x:v>Forte dépendance à la concentration et au solvant.</x:v>
      </x:c>
      <x:c r="AH9" s="12" t="str"/>
      <x:c r="AI9" s="12" t="str"/>
      <x:c r="AJ9" t="str">
        <x:f>XLOOKUP(C9,Sources!$A:$A,Sources!$J:$J,"Non")</x:f>
        <x:v>Non</x:v>
      </x:c>
      <x:c r="AK9" t="str">
        <x:f>XLOOKUP(C9,Sources!$A:$A,Sources!$K:$K,"À décider")</x:f>
        <x:v>À décider</x:v>
      </x:c>
      <x:c r="AL9" t="str">
        <x:f>XLOOKUP(C9,Sources!$A:$A,Sources!$L:$L,"Non")</x:f>
        <x:v>Non</x:v>
      </x:c>
      <x:c r="AM9" t="str">
        <x:f>XLOOKUP(C9,Sources!$A:$A,Sources!$M:$M,"Non")</x:f>
        <x:v>Non</x:v>
      </x:c>
      <x:c r="AN9" t="str">
        <x:f>XLOOKUP(C9,Sources!$A:$A,Sources!$N:$N,"À valider")</x:f>
        <x:v>À valider</x:v>
      </x:c>
    </x:row>
    <x:row r="10" ht="18" customHeight="1">
      <x:c r="A10" s="12" t="str">
        <x:v>STAB0009</x:v>
      </x:c>
      <x:c r="B10" s="12" t="str">
        <x:v>Amoxicilline</x:v>
      </x:c>
      <x:c r="C10" s="12" t="str">
        <x:v>SRC001</x:v>
      </x:c>
      <x:c r="D10" s="12" t="str">
        <x:v>ANAPA – données internes du laboratoire</x:v>
      </x:c>
      <x:c r="E10" s="12" t="str">
        <x:v>Protocole local</x:v>
      </x:c>
      <x:c r="F10" s="12" t="str">
        <x:v>anapa</x:v>
      </x:c>
      <x:c r="G10" s="12" t="str">
        <x:v>ANAPA</x:v>
      </x:c>
      <x:c r="H10" s="12" t="str">
        <x:v>Administration ambulatoire testée sur diffuseur non élastomère ANAPA</x:v>
      </x:c>
      <x:c r="I10" s="12" t="str">
        <x:v>Non</x:v>
      </x:c>
      <x:c r="J10" s="12" t="str">
        <x:v>Non</x:v>
      </x:c>
      <x:c r="K10" s="12" t="str">
        <x:v>NaCl 0,9 %</x:v>
      </x:c>
      <x:c r="L10" s="12"/>
      <x:c r="M10" s="12" t="n">
        <x:v>25</x:v>
      </x:c>
      <x:c r="N10" s="12" t="str">
        <x:v>mg/mL</x:v>
      </x:c>
      <x:c r="O10" s="12"/>
      <x:c r="P10" s="12"/>
      <x:c r="Q10" s="12"/>
      <x:c r="R10" s="12"/>
      <x:c r="S10" s="12" t="str"/>
      <x:c r="T10" s="12" t="n">
        <x:v>12</x:v>
      </x:c>
      <x:c r="U10" s="12"/>
      <x:c r="V10" s="12" t="str"/>
      <x:c r="W10" s="12" t="str"/>
      <x:c r="X10" s="12" t="str"/>
      <x:c r="Y10" s="12" t="str"/>
      <x:c r="Z10" s="12" t="str">
        <x:v>À compléter</x:v>
      </x:c>
      <x:c r="AA10" s="12" t="str">
        <x:v>ANAPA possible selon protocole</x:v>
      </x:c>
      <x:c r="AB10" s="12" t="str">
        <x:v>Vigilance</x:v>
      </x:c>
      <x:c r="AC10" s="12" t="str">
        <x:v>À vérifier</x:v>
      </x:c>
      <x:c r="AD10" s="12" t="str"/>
      <x:c r="AE10" s="12" t="str"/>
      <x:c r="AF10" s="12" t="str">
        <x:v>NaCl 0,9 % ; conc 25 mg/mL ; stab 12 h</x:v>
      </x:c>
      <x:c r="AG10" s="12" t="str">
        <x:v>Donnée issue des études de stabilité ANAPA.</x:v>
      </x:c>
      <x:c r="AH10" s="12" t="str"/>
      <x:c r="AI10" s="12" t="str"/>
      <x:c r="AJ10" t="str">
        <x:f>XLOOKUP(C10,Sources!$A:$A,Sources!$J:$J,"Non")</x:f>
        <x:v>Non</x:v>
      </x:c>
      <x:c r="AK10" t="str">
        <x:f>XLOOKUP(C10,Sources!$A:$A,Sources!$K:$K,"À décider")</x:f>
        <x:v>À décider</x:v>
      </x:c>
      <x:c r="AL10" t="str">
        <x:f>XLOOKUP(C10,Sources!$A:$A,Sources!$L:$L,"Non")</x:f>
        <x:v>Non</x:v>
      </x:c>
      <x:c r="AM10" t="str">
        <x:f>XLOOKUP(C10,Sources!$A:$A,Sources!$M:$M,"Non")</x:f>
        <x:v>Non</x:v>
      </x:c>
      <x:c r="AN10" t="str">
        <x:f>XLOOKUP(C10,Sources!$A:$A,Sources!$N:$N,"À valider")</x:f>
        <x:v>À valider</x:v>
      </x:c>
    </x:row>
    <x:row r="11" ht="18" customHeight="1">
      <x:c r="A11" s="12" t="str">
        <x:v>STAB0010</x:v>
      </x:c>
      <x:c r="B11" s="12" t="str">
        <x:v>Amoxicilline</x:v>
      </x:c>
      <x:c r="C11" s="12" t="str">
        <x:v>SRC010</x:v>
      </x:c>
      <x:c r="D11" s="12" t="str">
        <x:v>Micrel – données internes du laboratoire</x:v>
      </x:c>
      <x:c r="E11" s="12" t="str">
        <x:v>Protocole local</x:v>
      </x:c>
      <x:c r="F11" s="12" t="str">
        <x:v>micrel</x:v>
      </x:c>
      <x:c r="G11" s="12" t="str">
        <x:v>Pompe Rythmic / Micrel</x:v>
      </x:c>
      <x:c r="H11" s="12" t="str">
        <x:v>Pompe Rythmic PVC ; donnée spécifique solutés de dialyse péritonéale</x:v>
      </x:c>
      <x:c r="I11" s="12" t="str">
        <x:v>Oui</x:v>
      </x:c>
      <x:c r="J11" s="12" t="str">
        <x:v>Non</x:v>
      </x:c>
      <x:c r="K11" s="12" t="str"/>
      <x:c r="L11" s="12"/>
      <x:c r="M11" s="12" t="n">
        <x:v>0.125</x:v>
      </x:c>
      <x:c r="N11" s="12" t="str">
        <x:v>mg/mL</x:v>
      </x:c>
      <x:c r="O11" s="12"/>
      <x:c r="P11" s="12"/>
      <x:c r="Q11" s="12" t="n">
        <x:v>4</x:v>
      </x:c>
      <x:c r="R11" s="12" t="n">
        <x:v>37</x:v>
      </x:c>
      <x:c r="S11" s="12" t="str">
        <x:v>4°C, 25°C, 37°C</x:v>
      </x:c>
      <x:c r="T11" s="12" t="n">
        <x:v>336</x:v>
      </x:c>
      <x:c r="U11" s="12"/>
      <x:c r="V11" s="12" t="str"/>
      <x:c r="W11" s="12" t="str"/>
      <x:c r="X11" s="12" t="str"/>
      <x:c r="Y11" s="12" t="str"/>
      <x:c r="Z11" s="12" t="str">
        <x:v>À compléter</x:v>
      </x:c>
      <x:c r="AA11" s="12" t="str">
        <x:v>Donnée Micrel non transposable IV standard</x:v>
      </x:c>
      <x:c r="AB11" s="12" t="str">
        <x:v>Critique</x:v>
      </x:c>
      <x:c r="AC11" s="12" t="str">
        <x:v>À vérifier</x:v>
      </x:c>
      <x:c r="AD11" s="12" t="str"/>
      <x:c r="AE11" s="12" t="str"/>
      <x:c r="AF11" s="12" t="str">
        <x:v>Extraneal®/Dianéal® ; conc 0,125 mg/mL ; stab 48 h à 25°C, 24 h à 37°C, 14 j à 4°C selon soluté ; non directement transposable à l’IV standard</x:v>
      </x:c>
      <x:c r="AG11" s="12" t="str">
        <x:v>À ne pas assimiler aux données d’amoxicilline IV en NaCl 0,9 % pour perfusion continue.</x:v>
      </x:c>
      <x:c r="AH11" s="12" t="str"/>
      <x:c r="AI11" s="12" t="str"/>
      <x:c r="AJ11" t="str">
        <x:f>XLOOKUP(C11,Sources!$A:$A,Sources!$J:$J,"Non")</x:f>
        <x:v>Non</x:v>
      </x:c>
      <x:c r="AK11" t="str">
        <x:f>XLOOKUP(C11,Sources!$A:$A,Sources!$K:$K,"À décider")</x:f>
        <x:v>À décider</x:v>
      </x:c>
      <x:c r="AL11" t="str">
        <x:f>XLOOKUP(C11,Sources!$A:$A,Sources!$L:$L,"Non")</x:f>
        <x:v>Non</x:v>
      </x:c>
      <x:c r="AM11" t="str">
        <x:f>XLOOKUP(C11,Sources!$A:$A,Sources!$M:$M,"Non")</x:f>
        <x:v>Non</x:v>
      </x:c>
      <x:c r="AN11" t="str">
        <x:f>XLOOKUP(C11,Sources!$A:$A,Sources!$N:$N,"À valider")</x:f>
        <x:v>À valider</x:v>
      </x:c>
    </x:row>
    <x:row r="12" ht="18" customHeight="1">
      <x:c r="A12" s="12" t="str">
        <x:v>STAB0011</x:v>
      </x:c>
      <x:c r="B12" s="12" t="str">
        <x:v>Amoxicilline/acide clavulanique</x:v>
      </x:c>
      <x:c r="C12" s="12" t="str">
        <x:v>SRC015</x:v>
      </x:c>
      <x:c r="D12" s="12" t="str">
        <x:v>SPILF/SFPC 2025 + CH de Tourcoing 2017 + Centre Léon Bérard – HAD</x:v>
      </x:c>
      <x:c r="E12" s="12" t="str">
        <x:v>Guideline</x:v>
      </x:c>
      <x:c r="F12" s="12" t="str">
        <x:v>poche</x:v>
      </x:c>
      <x:c r="G12" s="12" t="str">
        <x:v>Poche soluté classique</x:v>
      </x:c>
      <x:c r="H12" s="12" t="str">
        <x:v>Continu non recommandé ; discontinue 30–60 min</x:v>
      </x:c>
      <x:c r="I12" s="12" t="str">
        <x:v>Oui</x:v>
      </x:c>
      <x:c r="J12" s="12" t="str">
        <x:v>Oui</x:v>
      </x:c>
      <x:c r="K12" s="12" t="str">
        <x:v>NaCl 0,9 % / G5</x:v>
      </x:c>
      <x:c r="L12" s="12"/>
      <x:c r="M12" s="12" t="n">
        <x:v>20</x:v>
      </x:c>
      <x:c r="N12" s="12" t="str">
        <x:v>mg/mL</x:v>
      </x:c>
      <x:c r="O12" s="12"/>
      <x:c r="P12" s="12"/>
      <x:c r="Q12" s="12"/>
      <x:c r="R12" s="12"/>
      <x:c r="S12" s="12" t="str"/>
      <x:c r="T12" s="12"/>
      <x:c r="U12" s="12"/>
      <x:c r="V12" s="12" t="str"/>
      <x:c r="W12" s="12" t="str"/>
      <x:c r="X12" s="12" t="str"/>
      <x:c r="Y12" s="12" t="str"/>
      <x:c r="Z12" s="12" t="str">
        <x:v>À compléter</x:v>
      </x:c>
      <x:c r="AA12" s="12" t="str">
        <x:v>Discontinue uniquement</x:v>
      </x:c>
      <x:c r="AB12" s="12" t="str">
        <x:v>Critique</x:v>
      </x:c>
      <x:c r="AC12" s="12" t="str">
        <x:v>À vérifier</x:v>
      </x:c>
      <x:c r="AD12" s="12" t="str"/>
      <x:c r="AE12" s="12" t="str"/>
      <x:c r="AF12" s="12" t="str">
        <x:v>NaCl 0,9 % exclusivement ; conc max 20 mg/mL ; stab max 60 min après reconstitution/fin administration ; G5 contre-indiqué/incompatible</x:v>
      </x:c>
      <x:c r="AG12" s="12" t="str">
        <x:v>À exclure des stratégies continues prolongées.</x:v>
      </x:c>
      <x:c r="AH12" s="12" t="str"/>
      <x:c r="AI12" s="12" t="str"/>
      <x:c r="AJ12" t="str">
        <x:f>XLOOKUP(C12,Sources!$A:$A,Sources!$J:$J,"Non")</x:f>
        <x:v>Non</x:v>
      </x:c>
      <x:c r="AK12" t="str">
        <x:f>XLOOKUP(C12,Sources!$A:$A,Sources!$K:$K,"À décider")</x:f>
        <x:v>À décider</x:v>
      </x:c>
      <x:c r="AL12" t="str">
        <x:f>XLOOKUP(C12,Sources!$A:$A,Sources!$L:$L,"Non")</x:f>
        <x:v>Non</x:v>
      </x:c>
      <x:c r="AM12" t="str">
        <x:f>XLOOKUP(C12,Sources!$A:$A,Sources!$M:$M,"Non")</x:f>
        <x:v>Non</x:v>
      </x:c>
      <x:c r="AN12" t="str">
        <x:f>XLOOKUP(C12,Sources!$A:$A,Sources!$N:$N,"À valider")</x:f>
        <x:v>À valider</x:v>
      </x:c>
    </x:row>
    <x:row r="13" ht="18" customHeight="1">
      <x:c r="A13" s="12" t="str">
        <x:v>STAB0012</x:v>
      </x:c>
      <x:c r="B13" s="12" t="str">
        <x:v>Amoxicilline/acide clavulanique</x:v>
      </x:c>
      <x:c r="C13" s="12" t="str">
        <x:v>SRC015</x:v>
      </x:c>
      <x:c r="D13" s="12" t="str">
        <x:v>SPILF/SFPC 2025 + CH de Tourcoing 2017 + Centre Léon Bérard – HAD</x:v>
      </x:c>
      <x:c r="E13" s="12" t="str">
        <x:v>Guideline</x:v>
      </x:c>
      <x:c r="F13" s="12" t="str">
        <x:v>pse</x:v>
      </x:c>
      <x:c r="G13" s="12" t="str">
        <x:v>PSE seringue PP</x:v>
      </x:c>
      <x:c r="H13" s="12" t="str">
        <x:v>Continu non recommandé ; discontinue 30–60 min</x:v>
      </x:c>
      <x:c r="I13" s="12" t="str">
        <x:v>Oui</x:v>
      </x:c>
      <x:c r="J13" s="12" t="str">
        <x:v>Oui</x:v>
      </x:c>
      <x:c r="K13" s="12" t="str"/>
      <x:c r="L13" s="12"/>
      <x:c r="M13" s="12"/>
      <x:c r="N13" s="12" t="str"/>
      <x:c r="O13" s="12"/>
      <x:c r="P13" s="12"/>
      <x:c r="Q13" s="12"/>
      <x:c r="R13" s="12"/>
      <x:c r="S13" s="12" t="str"/>
      <x:c r="T13" s="12"/>
      <x:c r="U13" s="12"/>
      <x:c r="V13" s="12" t="str"/>
      <x:c r="W13" s="12" t="str"/>
      <x:c r="X13" s="12" t="str"/>
      <x:c r="Y13" s="12" t="str"/>
      <x:c r="Z13" s="12" t="str">
        <x:v>À compléter</x:v>
      </x:c>
      <x:c r="AA13" s="12" t="str">
        <x:v>Discontinue uniquement</x:v>
      </x:c>
      <x:c r="AB13" s="12" t="str">
        <x:v>Critique</x:v>
      </x:c>
      <x:c r="AC13" s="12" t="str">
        <x:v>À vérifier</x:v>
      </x:c>
      <x:c r="AD13" s="12" t="str"/>
      <x:c r="AE13" s="12" t="str"/>
      <x:c r="AF13" s="12" t="str">
        <x:v>PSE continu non recommandé</x:v>
      </x:c>
      <x:c r="AG13" s="12" t="str">
        <x:v>À exclure des stratégies continues prolongées.</x:v>
      </x:c>
      <x:c r="AH13" s="12" t="str"/>
      <x:c r="AI13" s="12" t="str"/>
      <x:c r="AJ13" t="str">
        <x:f>XLOOKUP(C13,Sources!$A:$A,Sources!$J:$J,"Non")</x:f>
        <x:v>Non</x:v>
      </x:c>
      <x:c r="AK13" t="str">
        <x:f>XLOOKUP(C13,Sources!$A:$A,Sources!$K:$K,"À décider")</x:f>
        <x:v>À décider</x:v>
      </x:c>
      <x:c r="AL13" t="str">
        <x:f>XLOOKUP(C13,Sources!$A:$A,Sources!$L:$L,"Non")</x:f>
        <x:v>Non</x:v>
      </x:c>
      <x:c r="AM13" t="str">
        <x:f>XLOOKUP(C13,Sources!$A:$A,Sources!$M:$M,"Non")</x:f>
        <x:v>Non</x:v>
      </x:c>
      <x:c r="AN13" t="str">
        <x:f>XLOOKUP(C13,Sources!$A:$A,Sources!$N:$N,"À valider")</x:f>
        <x:v>À valider</x:v>
      </x:c>
    </x:row>
    <x:row r="14" ht="18" customHeight="1">
      <x:c r="A14" s="12" t="str">
        <x:v>STAB0013</x:v>
      </x:c>
      <x:c r="B14" s="12" t="str">
        <x:v>Aztréonam</x:v>
      </x:c>
      <x:c r="C14" s="12" t="str">
        <x:v>SRC014</x:v>
      </x:c>
      <x:c r="D14" s="12" t="str">
        <x:v>SPILF/SFPC 2025</x:v>
      </x:c>
      <x:c r="E14" s="12" t="str">
        <x:v>Guideline</x:v>
      </x:c>
      <x:c r="F14" s="12" t="str">
        <x:v>poche</x:v>
      </x:c>
      <x:c r="G14" s="12" t="str">
        <x:v>Poche soluté classique</x:v>
      </x:c>
      <x:c r="H14" s="12" t="str">
        <x:v>Continu possible ; prolongée possible</x:v>
      </x:c>
      <x:c r="I14" s="12" t="str">
        <x:v>Oui</x:v>
      </x:c>
      <x:c r="J14" s="12" t="str">
        <x:v>Non</x:v>
      </x:c>
      <x:c r="K14" s="12" t="str">
        <x:v>NaCl 0,9 % / G5</x:v>
      </x:c>
      <x:c r="L14" s="12" t="n">
        <x:v>10</x:v>
      </x:c>
      <x:c r="M14" s="12" t="n">
        <x:v>125</x:v>
      </x:c>
      <x:c r="N14" s="12" t="str">
        <x:v>mg/mL</x:v>
      </x:c>
      <x:c r="O14" s="12"/>
      <x:c r="P14" s="12"/>
      <x:c r="Q14" s="12"/>
      <x:c r="R14" s="12"/>
      <x:c r="S14" s="12" t="str"/>
      <x:c r="T14" s="12" t="n">
        <x:v>24</x:v>
      </x:c>
      <x:c r="U14" s="12"/>
      <x:c r="V14" s="12" t="str"/>
      <x:c r="W14" s="12" t="str"/>
      <x:c r="X14" s="12" t="str"/>
      <x:c r="Y14" s="12" t="str"/>
      <x:c r="Z14" s="12" t="str">
        <x:v>À compléter</x:v>
      </x:c>
      <x:c r="AA14" s="12" t="str">
        <x:v>Continu/prolongé possible</x:v>
      </x:c>
      <x:c r="AB14" s="12" t="str">
        <x:v>OK</x:v>
      </x:c>
      <x:c r="AC14" s="12" t="str">
        <x:v>À vérifier</x:v>
      </x:c>
      <x:c r="AD14" s="12" t="str"/>
      <x:c r="AE14" s="12" t="str"/>
      <x:c r="AF14" s="12" t="str">
        <x:v>NaCl 0,9 % ou G5 ; conc 10–125 mg/mL ; stab &gt;24 h</x:v>
      </x:c>
      <x:c r="AG14" s="12" t="str">
        <x:v>Bon candidat à l’administration prolongée.</x:v>
      </x:c>
      <x:c r="AH14" s="12" t="str"/>
      <x:c r="AI14" s="12" t="str"/>
      <x:c r="AJ14" t="str">
        <x:f>XLOOKUP(C14,Sources!$A:$A,Sources!$J:$J,"Non")</x:f>
        <x:v>Non</x:v>
      </x:c>
      <x:c r="AK14" t="str">
        <x:f>XLOOKUP(C14,Sources!$A:$A,Sources!$K:$K,"À décider")</x:f>
        <x:v>À décider</x:v>
      </x:c>
      <x:c r="AL14" t="str">
        <x:f>XLOOKUP(C14,Sources!$A:$A,Sources!$L:$L,"Non")</x:f>
        <x:v>Non</x:v>
      </x:c>
      <x:c r="AM14" t="str">
        <x:f>XLOOKUP(C14,Sources!$A:$A,Sources!$M:$M,"Non")</x:f>
        <x:v>Non</x:v>
      </x:c>
      <x:c r="AN14" t="str">
        <x:f>XLOOKUP(C14,Sources!$A:$A,Sources!$N:$N,"À valider")</x:f>
        <x:v>À valider</x:v>
      </x:c>
    </x:row>
    <x:row r="15" ht="18" customHeight="1">
      <x:c r="A15" s="12" t="str">
        <x:v>STAB0014</x:v>
      </x:c>
      <x:c r="B15" s="12" t="str">
        <x:v>Aztréonam</x:v>
      </x:c>
      <x:c r="C15" s="12" t="str">
        <x:v>SRC014</x:v>
      </x:c>
      <x:c r="D15" s="12" t="str">
        <x:v>SPILF/SFPC 2025</x:v>
      </x:c>
      <x:c r="E15" s="12" t="str">
        <x:v>Guideline</x:v>
      </x:c>
      <x:c r="F15" s="12" t="str">
        <x:v>pse</x:v>
      </x:c>
      <x:c r="G15" s="12" t="str">
        <x:v>PSE seringue PP</x:v>
      </x:c>
      <x:c r="H15" s="12" t="str">
        <x:v>Continu possible ; prolongée possible</x:v>
      </x:c>
      <x:c r="I15" s="12" t="str">
        <x:v>Oui</x:v>
      </x:c>
      <x:c r="J15" s="12" t="str">
        <x:v>Non</x:v>
      </x:c>
      <x:c r="K15" s="12" t="str">
        <x:v>NaCl 0,9 %</x:v>
      </x:c>
      <x:c r="L15" s="12"/>
      <x:c r="M15" s="12" t="n">
        <x:v>125</x:v>
      </x:c>
      <x:c r="N15" s="12" t="str">
        <x:v>mg/mL</x:v>
      </x:c>
      <x:c r="O15" s="12"/>
      <x:c r="P15" s="12"/>
      <x:c r="Q15" s="12"/>
      <x:c r="R15" s="12"/>
      <x:c r="S15" s="12" t="str"/>
      <x:c r="T15" s="12" t="n">
        <x:v>4</x:v>
      </x:c>
      <x:c r="U15" s="12"/>
      <x:c r="V15" s="12" t="str"/>
      <x:c r="W15" s="12" t="str"/>
      <x:c r="X15" s="12" t="str"/>
      <x:c r="Y15" s="12" t="str"/>
      <x:c r="Z15" s="12" t="str">
        <x:v>À compléter</x:v>
      </x:c>
      <x:c r="AA15" s="12" t="str">
        <x:v>Continu/prolongé possible</x:v>
      </x:c>
      <x:c r="AB15" s="12" t="str">
        <x:v>OK</x:v>
      </x:c>
      <x:c r="AC15" s="12" t="str">
        <x:v>À vérifier</x:v>
      </x:c>
      <x:c r="AD15" s="12" t="str"/>
      <x:c r="AE15" s="12" t="str"/>
      <x:c r="AF15" s="12" t="str">
        <x:v>NaCl 0,9 % ; conc max 125 mg/mL ; stab compatible pour prolongée ; ex 2 g/48 mL sur 3–4 h</x:v>
      </x:c>
      <x:c r="AG15" s="12" t="str">
        <x:v>Bon candidat à l’administration prolongée.</x:v>
      </x:c>
      <x:c r="AH15" s="12" t="str"/>
      <x:c r="AI15" s="12" t="str"/>
      <x:c r="AJ15" t="str">
        <x:f>XLOOKUP(C15,Sources!$A:$A,Sources!$J:$J,"Non")</x:f>
        <x:v>Non</x:v>
      </x:c>
      <x:c r="AK15" t="str">
        <x:f>XLOOKUP(C15,Sources!$A:$A,Sources!$K:$K,"À décider")</x:f>
        <x:v>À décider</x:v>
      </x:c>
      <x:c r="AL15" t="str">
        <x:f>XLOOKUP(C15,Sources!$A:$A,Sources!$L:$L,"Non")</x:f>
        <x:v>Non</x:v>
      </x:c>
      <x:c r="AM15" t="str">
        <x:f>XLOOKUP(C15,Sources!$A:$A,Sources!$M:$M,"Non")</x:f>
        <x:v>Non</x:v>
      </x:c>
      <x:c r="AN15" t="str">
        <x:f>XLOOKUP(C15,Sources!$A:$A,Sources!$N:$N,"À valider")</x:f>
        <x:v>À valider</x:v>
      </x:c>
    </x:row>
    <x:row r="16" ht="18" customHeight="1">
      <x:c r="A16" s="12" t="str">
        <x:v>STAB0015</x:v>
      </x:c>
      <x:c r="B16" s="12" t="str">
        <x:v>Aztréonam</x:v>
      </x:c>
      <x:c r="C16" s="12" t="str">
        <x:v>SRC010</x:v>
      </x:c>
      <x:c r="D16" s="12" t="str">
        <x:v>Micrel – données internes du laboratoire</x:v>
      </x:c>
      <x:c r="E16" s="12" t="str">
        <x:v>Protocole local</x:v>
      </x:c>
      <x:c r="F16" s="12" t="str">
        <x:v>micrel</x:v>
      </x:c>
      <x:c r="G16" s="12" t="str">
        <x:v>Pompe Rythmic / Micrel</x:v>
      </x:c>
      <x:c r="H16" s="12" t="str">
        <x:v>Pompe Rythmic PVC</x:v>
      </x:c>
      <x:c r="I16" s="12" t="str">
        <x:v>Oui</x:v>
      </x:c>
      <x:c r="J16" s="12" t="str">
        <x:v>Non</x:v>
      </x:c>
      <x:c r="K16" s="12" t="str">
        <x:v>NaCl 0,9 %</x:v>
      </x:c>
      <x:c r="L16" s="12" t="n">
        <x:v>5</x:v>
      </x:c>
      <x:c r="M16" s="12" t="n">
        <x:v>60</x:v>
      </x:c>
      <x:c r="N16" s="12" t="str">
        <x:v>mg/mL</x:v>
      </x:c>
      <x:c r="O16" s="12"/>
      <x:c r="P16" s="12"/>
      <x:c r="Q16" s="12"/>
      <x:c r="R16" s="12"/>
      <x:c r="S16" s="12" t="str">
        <x:v>RT</x:v>
      </x:c>
      <x:c r="T16" s="12" t="n">
        <x:v>672</x:v>
      </x:c>
      <x:c r="U16" s="12"/>
      <x:c r="V16" s="12" t="str"/>
      <x:c r="W16" s="12" t="str"/>
      <x:c r="X16" s="12" t="str"/>
      <x:c r="Y16" s="12" t="str"/>
      <x:c r="Z16" s="12" t="str">
        <x:v>À compléter</x:v>
      </x:c>
      <x:c r="AA16" s="12" t="str">
        <x:v>Micrel possible</x:v>
      </x:c>
      <x:c r="AB16" s="12" t="str">
        <x:v>OK</x:v>
      </x:c>
      <x:c r="AC16" s="12" t="str">
        <x:v>À vérifier</x:v>
      </x:c>
      <x:c r="AD16" s="12" t="str"/>
      <x:c r="AE16" s="12" t="str"/>
      <x:c r="AF16" s="12" t="str">
        <x:v>NaCl 0,9 % ; conc 5–60 mg/mL ; stab FT 28 j ; RT 24 h</x:v>
      </x:c>
      <x:c r="AG16" s="12" t="str">
        <x:v>Donnée spécifique contenant.</x:v>
      </x:c>
      <x:c r="AH16" s="12" t="str"/>
      <x:c r="AI16" s="12" t="str"/>
      <x:c r="AJ16" t="str">
        <x:f>XLOOKUP(C16,Sources!$A:$A,Sources!$J:$J,"Non")</x:f>
        <x:v>Non</x:v>
      </x:c>
      <x:c r="AK16" t="str">
        <x:f>XLOOKUP(C16,Sources!$A:$A,Sources!$K:$K,"À décider")</x:f>
        <x:v>À décider</x:v>
      </x:c>
      <x:c r="AL16" t="str">
        <x:f>XLOOKUP(C16,Sources!$A:$A,Sources!$L:$L,"Non")</x:f>
        <x:v>Non</x:v>
      </x:c>
      <x:c r="AM16" t="str">
        <x:f>XLOOKUP(C16,Sources!$A:$A,Sources!$M:$M,"Non")</x:f>
        <x:v>Non</x:v>
      </x:c>
      <x:c r="AN16" t="str">
        <x:f>XLOOKUP(C16,Sources!$A:$A,Sources!$N:$N,"À valider")</x:f>
        <x:v>À valider</x:v>
      </x:c>
    </x:row>
    <x:row r="17" ht="18" customHeight="1">
      <x:c r="A17" s="12" t="str">
        <x:v>STAB0016</x:v>
      </x:c>
      <x:c r="B17" s="12" t="str">
        <x:v>Ceftazidime</x:v>
      </x:c>
      <x:c r="C17" s="12" t="str">
        <x:v>SRC014</x:v>
      </x:c>
      <x:c r="D17" s="12" t="str">
        <x:v>SPILF/SFPC 2025</x:v>
      </x:c>
      <x:c r="E17" s="12" t="str">
        <x:v>Guideline</x:v>
      </x:c>
      <x:c r="F17" s="12" t="str">
        <x:v>poche</x:v>
      </x:c>
      <x:c r="G17" s="12" t="str">
        <x:v>Poche soluté classique</x:v>
      </x:c>
      <x:c r="H17" s="12" t="str">
        <x:v>Continu possible</x:v>
      </x:c>
      <x:c r="I17" s="12" t="str">
        <x:v>Oui</x:v>
      </x:c>
      <x:c r="J17" s="12" t="str">
        <x:v>Non</x:v>
      </x:c>
      <x:c r="K17" s="12" t="str">
        <x:v>NaCl 0,9 % / G5</x:v>
      </x:c>
      <x:c r="L17" s="12" t="n">
        <x:v>20</x:v>
      </x:c>
      <x:c r="M17" s="12" t="n">
        <x:v>125</x:v>
      </x:c>
      <x:c r="N17" s="12" t="str">
        <x:v>mg/mL</x:v>
      </x:c>
      <x:c r="O17" s="12"/>
      <x:c r="P17" s="12"/>
      <x:c r="Q17" s="12"/>
      <x:c r="R17" s="12"/>
      <x:c r="S17" s="12" t="str"/>
      <x:c r="T17" s="12" t="n">
        <x:v>24</x:v>
      </x:c>
      <x:c r="U17" s="12"/>
      <x:c r="V17" s="12" t="str"/>
      <x:c r="W17" s="12" t="str"/>
      <x:c r="X17" s="12" t="str"/>
      <x:c r="Y17" s="12" t="str"/>
      <x:c r="Z17" s="12" t="str">
        <x:v>À compléter</x:v>
      </x:c>
      <x:c r="AA17" s="12" t="str">
        <x:v>Continu possible avec vigilance</x:v>
      </x:c>
      <x:c r="AB17" s="12" t="str">
        <x:v>Vigilance</x:v>
      </x:c>
      <x:c r="AC17" s="12" t="str">
        <x:v>À vérifier</x:v>
      </x:c>
      <x:c r="AD17" s="12" t="str"/>
      <x:c r="AE17" s="12" t="str"/>
      <x:c r="AF17" s="12" t="str">
        <x:v>NaCl 0,9 % ; conc 20–125 mg/mL ; stab 24 h / G5 ; conc 125 mg/mL ; stab 8 h</x:v>
      </x:c>
      <x:c r="AG17" s="12" t="str">
        <x:v>Vigilance température et concentration.</x:v>
      </x:c>
      <x:c r="AH17" s="12" t="str"/>
      <x:c r="AI17" s="12" t="str"/>
      <x:c r="AJ17" t="str">
        <x:f>XLOOKUP(C17,Sources!$A:$A,Sources!$J:$J,"Non")</x:f>
        <x:v>Non</x:v>
      </x:c>
      <x:c r="AK17" t="str">
        <x:f>XLOOKUP(C17,Sources!$A:$A,Sources!$K:$K,"À décider")</x:f>
        <x:v>À décider</x:v>
      </x:c>
      <x:c r="AL17" t="str">
        <x:f>XLOOKUP(C17,Sources!$A:$A,Sources!$L:$L,"Non")</x:f>
        <x:v>Non</x:v>
      </x:c>
      <x:c r="AM17" t="str">
        <x:f>XLOOKUP(C17,Sources!$A:$A,Sources!$M:$M,"Non")</x:f>
        <x:v>Non</x:v>
      </x:c>
      <x:c r="AN17" t="str">
        <x:f>XLOOKUP(C17,Sources!$A:$A,Sources!$N:$N,"À valider")</x:f>
        <x:v>À valider</x:v>
      </x:c>
    </x:row>
    <x:row r="18" ht="18" customHeight="1">
      <x:c r="A18" s="12" t="str">
        <x:v>STAB0017</x:v>
      </x:c>
      <x:c r="B18" s="12" t="str">
        <x:v>Ceftazidime</x:v>
      </x:c>
      <x:c r="C18" s="12" t="str">
        <x:v>SRC014</x:v>
      </x:c>
      <x:c r="D18" s="12" t="str">
        <x:v>SPILF/SFPC 2025</x:v>
      </x:c>
      <x:c r="E18" s="12" t="str">
        <x:v>Guideline</x:v>
      </x:c>
      <x:c r="F18" s="12" t="str">
        <x:v>pse</x:v>
      </x:c>
      <x:c r="G18" s="12" t="str">
        <x:v>PSE seringue PP</x:v>
      </x:c>
      <x:c r="H18" s="12" t="str">
        <x:v>Continu possible</x:v>
      </x:c>
      <x:c r="I18" s="12" t="str">
        <x:v>Oui</x:v>
      </x:c>
      <x:c r="J18" s="12" t="str">
        <x:v>Non</x:v>
      </x:c>
      <x:c r="K18" s="12" t="str">
        <x:v>NaCl 0,9 %</x:v>
      </x:c>
      <x:c r="L18" s="12"/>
      <x:c r="M18" s="12" t="n">
        <x:v>125</x:v>
      </x:c>
      <x:c r="N18" s="12" t="str">
        <x:v>mg/mL</x:v>
      </x:c>
      <x:c r="O18" s="12"/>
      <x:c r="P18" s="12"/>
      <x:c r="Q18" s="12"/>
      <x:c r="R18" s="12"/>
      <x:c r="S18" s="12" t="str"/>
      <x:c r="T18" s="12" t="n">
        <x:v>24</x:v>
      </x:c>
      <x:c r="U18" s="12"/>
      <x:c r="V18" s="12" t="str"/>
      <x:c r="W18" s="12" t="str"/>
      <x:c r="X18" s="12" t="str"/>
      <x:c r="Y18" s="12" t="str"/>
      <x:c r="Z18" s="12" t="str">
        <x:v>À compléter</x:v>
      </x:c>
      <x:c r="AA18" s="12" t="str">
        <x:v>Continu possible avec vigilance</x:v>
      </x:c>
      <x:c r="AB18" s="12" t="str">
        <x:v>Vigilance</x:v>
      </x:c>
      <x:c r="AC18" s="12" t="str">
        <x:v>À vérifier</x:v>
      </x:c>
      <x:c r="AD18" s="12" t="str"/>
      <x:c r="AE18" s="12" t="str"/>
      <x:c r="AF18" s="12" t="str">
        <x:v>NaCl 0,9 % ; conc max 125 mg/mL ; stab 12–24 h selon schéma</x:v>
      </x:c>
      <x:c r="AG18" s="12" t="str">
        <x:v>Vigilance température et concentration.</x:v>
      </x:c>
      <x:c r="AH18" s="12" t="str"/>
      <x:c r="AI18" s="12" t="str"/>
      <x:c r="AJ18" t="str">
        <x:f>XLOOKUP(C18,Sources!$A:$A,Sources!$J:$J,"Non")</x:f>
        <x:v>Non</x:v>
      </x:c>
      <x:c r="AK18" t="str">
        <x:f>XLOOKUP(C18,Sources!$A:$A,Sources!$K:$K,"À décider")</x:f>
        <x:v>À décider</x:v>
      </x:c>
      <x:c r="AL18" t="str">
        <x:f>XLOOKUP(C18,Sources!$A:$A,Sources!$L:$L,"Non")</x:f>
        <x:v>Non</x:v>
      </x:c>
      <x:c r="AM18" t="str">
        <x:f>XLOOKUP(C18,Sources!$A:$A,Sources!$M:$M,"Non")</x:f>
        <x:v>Non</x:v>
      </x:c>
      <x:c r="AN18" t="str">
        <x:f>XLOOKUP(C18,Sources!$A:$A,Sources!$N:$N,"À valider")</x:f>
        <x:v>À valider</x:v>
      </x:c>
    </x:row>
    <x:row r="19" ht="18" customHeight="1">
      <x:c r="A19" s="12" t="str">
        <x:v>STAB0018</x:v>
      </x:c>
      <x:c r="B19" s="12" t="str">
        <x:v>Ceftazidime</x:v>
      </x:c>
      <x:c r="C19" s="12" t="str">
        <x:v>SRC002</x:v>
      </x:c>
      <x:c r="D19" s="12" t="str">
        <x:v>CH de Tourcoing 2017</x:v>
      </x:c>
      <x:c r="E19" s="12" t="str">
        <x:v>Protocole local</x:v>
      </x:c>
      <x:c r="F19" s="12" t="str">
        <x:v>poche</x:v>
      </x:c>
      <x:c r="G19" s="12" t="str">
        <x:v>Poche soluté classique</x:v>
      </x:c>
      <x:c r="H19" s="12" t="str">
        <x:v>Continu fractionné recommandé</x:v>
      </x:c>
      <x:c r="I19" s="12" t="str">
        <x:v>Oui</x:v>
      </x:c>
      <x:c r="J19" s="12" t="str">
        <x:v>Non</x:v>
      </x:c>
      <x:c r="K19" s="12" t="str">
        <x:v>NaCl 0,9 % / G5</x:v>
      </x:c>
      <x:c r="L19" s="12"/>
      <x:c r="M19" s="12" t="n">
        <x:v>80</x:v>
      </x:c>
      <x:c r="N19" s="12" t="str">
        <x:v>mg/mL</x:v>
      </x:c>
      <x:c r="O19" s="12"/>
      <x:c r="P19" s="12"/>
      <x:c r="Q19" s="12"/>
      <x:c r="R19" s="12"/>
      <x:c r="S19" s="12" t="str">
        <x:v>RT</x:v>
      </x:c>
      <x:c r="T19" s="12" t="n">
        <x:v>8</x:v>
      </x:c>
      <x:c r="U19" s="12"/>
      <x:c r="V19" s="12" t="str"/>
      <x:c r="W19" s="12" t="str"/>
      <x:c r="X19" s="12" t="str"/>
      <x:c r="Y19" s="12" t="str"/>
      <x:c r="Z19" s="12" t="str">
        <x:v>À compléter</x:v>
      </x:c>
      <x:c r="AA19" s="12" t="str">
        <x:v>Fractionnement 6–8 h</x:v>
      </x:c>
      <x:c r="AB19" s="12" t="str">
        <x:v>OK</x:v>
      </x:c>
      <x:c r="AC19" s="12" t="str">
        <x:v>À vérifier</x:v>
      </x:c>
      <x:c r="AD19" s="12" t="str"/>
      <x:c r="AE19" s="12" t="str"/>
      <x:c r="AF19" s="12" t="str">
        <x:v>NaCl 0,9 % ou G5 ; conc max 80 mg/mL ; stab 8 h RT</x:v>
      </x:c>
      <x:c r="AG19" s="12" t="str">
        <x:v>Source plus restrictive que SPILF.</x:v>
      </x:c>
      <x:c r="AH19" s="12" t="str"/>
      <x:c r="AI19" s="12" t="str"/>
      <x:c r="AJ19" t="str">
        <x:f>XLOOKUP(C19,Sources!$A:$A,Sources!$J:$J,"Non")</x:f>
        <x:v>Non</x:v>
      </x:c>
      <x:c r="AK19" t="str">
        <x:f>XLOOKUP(C19,Sources!$A:$A,Sources!$K:$K,"À décider")</x:f>
        <x:v>À décider</x:v>
      </x:c>
      <x:c r="AL19" t="str">
        <x:f>XLOOKUP(C19,Sources!$A:$A,Sources!$L:$L,"Non")</x:f>
        <x:v>Non</x:v>
      </x:c>
      <x:c r="AM19" t="str">
        <x:f>XLOOKUP(C19,Sources!$A:$A,Sources!$M:$M,"Non")</x:f>
        <x:v>Non</x:v>
      </x:c>
      <x:c r="AN19" t="str">
        <x:f>XLOOKUP(C19,Sources!$A:$A,Sources!$N:$N,"À valider")</x:f>
        <x:v>À valider</x:v>
      </x:c>
    </x:row>
    <x:row r="20" ht="18" customHeight="1">
      <x:c r="A20" s="12" t="str">
        <x:v>STAB0019</x:v>
      </x:c>
      <x:c r="B20" s="12" t="str">
        <x:v>Ceftazidime</x:v>
      </x:c>
      <x:c r="C20" s="12" t="str">
        <x:v>SRC002</x:v>
      </x:c>
      <x:c r="D20" s="12" t="str">
        <x:v>CH de Tourcoing 2017</x:v>
      </x:c>
      <x:c r="E20" s="12" t="str">
        <x:v>Protocole local</x:v>
      </x:c>
      <x:c r="F20" s="12" t="str">
        <x:v>pse</x:v>
      </x:c>
      <x:c r="G20" s="12" t="str">
        <x:v>PSE seringue PP</x:v>
      </x:c>
      <x:c r="H20" s="12" t="str">
        <x:v>Continu fractionné recommandé</x:v>
      </x:c>
      <x:c r="I20" s="12" t="str">
        <x:v>Oui</x:v>
      </x:c>
      <x:c r="J20" s="12" t="str">
        <x:v>Non</x:v>
      </x:c>
      <x:c r="K20" s="12" t="str">
        <x:v>NaCl 0,9 % / G5</x:v>
      </x:c>
      <x:c r="L20" s="12"/>
      <x:c r="M20" s="12" t="n">
        <x:v>80</x:v>
      </x:c>
      <x:c r="N20" s="12" t="str">
        <x:v>mg/mL</x:v>
      </x:c>
      <x:c r="O20" s="12"/>
      <x:c r="P20" s="12"/>
      <x:c r="Q20" s="12"/>
      <x:c r="R20" s="12"/>
      <x:c r="S20" s="12" t="str"/>
      <x:c r="T20" s="12" t="n">
        <x:v>8</x:v>
      </x:c>
      <x:c r="U20" s="12"/>
      <x:c r="V20" s="12" t="str"/>
      <x:c r="W20" s="12" t="str"/>
      <x:c r="X20" s="12" t="str"/>
      <x:c r="Y20" s="12" t="str"/>
      <x:c r="Z20" s="12" t="str">
        <x:v>À compléter</x:v>
      </x:c>
      <x:c r="AA20" s="12" t="str">
        <x:v>Fractionnement 6–8 h</x:v>
      </x:c>
      <x:c r="AB20" s="12" t="str">
        <x:v>OK</x:v>
      </x:c>
      <x:c r="AC20" s="12" t="str">
        <x:v>À vérifier</x:v>
      </x:c>
      <x:c r="AD20" s="12" t="str"/>
      <x:c r="AE20" s="12" t="str"/>
      <x:c r="AF20" s="12" t="str">
        <x:v>NaCl 0,9 % ou G5 ; conc max 80 mg/mL ; stab 6–8 h</x:v>
      </x:c>
      <x:c r="AG20" s="12" t="str">
        <x:v>Source plus restrictive que SPILF.</x:v>
      </x:c>
      <x:c r="AH20" s="12" t="str"/>
      <x:c r="AI20" s="12" t="str"/>
      <x:c r="AJ20" t="str">
        <x:f>XLOOKUP(C20,Sources!$A:$A,Sources!$J:$J,"Non")</x:f>
        <x:v>Non</x:v>
      </x:c>
      <x:c r="AK20" t="str">
        <x:f>XLOOKUP(C20,Sources!$A:$A,Sources!$K:$K,"À décider")</x:f>
        <x:v>À décider</x:v>
      </x:c>
      <x:c r="AL20" t="str">
        <x:f>XLOOKUP(C20,Sources!$A:$A,Sources!$L:$L,"Non")</x:f>
        <x:v>Non</x:v>
      </x:c>
      <x:c r="AM20" t="str">
        <x:f>XLOOKUP(C20,Sources!$A:$A,Sources!$M:$M,"Non")</x:f>
        <x:v>Non</x:v>
      </x:c>
      <x:c r="AN20" t="str">
        <x:f>XLOOKUP(C20,Sources!$A:$A,Sources!$N:$N,"À valider")</x:f>
        <x:v>À valider</x:v>
      </x:c>
    </x:row>
    <x:row r="21" ht="18" customHeight="1">
      <x:c r="A21" s="12" t="str">
        <x:v>STAB0020</x:v>
      </x:c>
      <x:c r="B21" s="12" t="str">
        <x:v>Ceftazidime</x:v>
      </x:c>
      <x:c r="C21" s="12" t="str">
        <x:v>SRC001</x:v>
      </x:c>
      <x:c r="D21" s="12" t="str">
        <x:v>ANAPA – données internes du laboratoire</x:v>
      </x:c>
      <x:c r="E21" s="12" t="str">
        <x:v>Protocole local</x:v>
      </x:c>
      <x:c r="F21" s="12" t="str">
        <x:v>anapa</x:v>
      </x:c>
      <x:c r="G21" s="12" t="str">
        <x:v>ANAPA</x:v>
      </x:c>
      <x:c r="H21" s="12" t="str">
        <x:v>Administration ambulatoire testée sur diffuseur non élastomère ANAPA</x:v>
      </x:c>
      <x:c r="I21" s="12" t="str">
        <x:v>Oui</x:v>
      </x:c>
      <x:c r="J21" s="12" t="str">
        <x:v>Non</x:v>
      </x:c>
      <x:c r="K21" s="12" t="str">
        <x:v>NaCl 0,9 %</x:v>
      </x:c>
      <x:c r="L21" s="12"/>
      <x:c r="M21" s="12" t="n">
        <x:v>20</x:v>
      </x:c>
      <x:c r="N21" s="12" t="str">
        <x:v>mg/mL</x:v>
      </x:c>
      <x:c r="O21" s="12"/>
      <x:c r="P21" s="12"/>
      <x:c r="Q21" s="12"/>
      <x:c r="R21" s="12"/>
      <x:c r="S21" s="12" t="str">
        <x:v>RT</x:v>
      </x:c>
      <x:c r="T21" s="12" t="n">
        <x:v>24</x:v>
      </x:c>
      <x:c r="U21" s="12" t="n">
        <x:v>20</x:v>
      </x:c>
      <x:c r="V21" s="12" t="str"/>
      <x:c r="W21" s="12" t="str"/>
      <x:c r="X21" s="12" t="str"/>
      <x:c r="Y21" s="12" t="str"/>
      <x:c r="Z21" s="12" t="str">
        <x:v>À compléter</x:v>
      </x:c>
      <x:c r="AA21" s="12" t="str">
        <x:v>ANAPA possible selon conditions testées</x:v>
      </x:c>
      <x:c r="AB21" s="12" t="str">
        <x:v>Vigilance</x:v>
      </x:c>
      <x:c r="AC21" s="12" t="str">
        <x:v>À vérifier</x:v>
      </x:c>
      <x:c r="AD21" s="12" t="str"/>
      <x:c r="AE21" s="12" t="str"/>
      <x:c r="AF21" s="12" t="str">
        <x:v>NaCl 0,9 % ; conc 20 mg/mL ; stab 24 h RT + run-out 20 h</x:v>
      </x:c>
      <x:c r="AG21" s="12" t="str">
        <x:v>Attention &gt;25°C et produits de dégradation.</x:v>
      </x:c>
      <x:c r="AH21" s="12" t="str"/>
      <x:c r="AI21" s="12" t="str"/>
      <x:c r="AJ21" t="str">
        <x:f>XLOOKUP(C21,Sources!$A:$A,Sources!$J:$J,"Non")</x:f>
        <x:v>Non</x:v>
      </x:c>
      <x:c r="AK21" t="str">
        <x:f>XLOOKUP(C21,Sources!$A:$A,Sources!$K:$K,"À décider")</x:f>
        <x:v>À décider</x:v>
      </x:c>
      <x:c r="AL21" t="str">
        <x:f>XLOOKUP(C21,Sources!$A:$A,Sources!$L:$L,"Non")</x:f>
        <x:v>Non</x:v>
      </x:c>
      <x:c r="AM21" t="str">
        <x:f>XLOOKUP(C21,Sources!$A:$A,Sources!$M:$M,"Non")</x:f>
        <x:v>Non</x:v>
      </x:c>
      <x:c r="AN21" t="str">
        <x:f>XLOOKUP(C21,Sources!$A:$A,Sources!$N:$N,"À valider")</x:f>
        <x:v>À valider</x:v>
      </x:c>
    </x:row>
    <x:row r="22" ht="18" customHeight="1">
      <x:c r="A22" s="12" t="str">
        <x:v>STAB0021</x:v>
      </x:c>
      <x:c r="B22" s="12" t="str">
        <x:v>Ceftazidime</x:v>
      </x:c>
      <x:c r="C22" s="12" t="str">
        <x:v>SRC010</x:v>
      </x:c>
      <x:c r="D22" s="12" t="str">
        <x:v>Micrel – données internes du laboratoire</x:v>
      </x:c>
      <x:c r="E22" s="12" t="str">
        <x:v>Protocole local</x:v>
      </x:c>
      <x:c r="F22" s="12" t="str">
        <x:v>micrel</x:v>
      </x:c>
      <x:c r="G22" s="12" t="str">
        <x:v>Pompe Rythmic / Micrel</x:v>
      </x:c>
      <x:c r="H22" s="12" t="str">
        <x:v>Pompe Rythmic PVC</x:v>
      </x:c>
      <x:c r="I22" s="12" t="str">
        <x:v>Oui</x:v>
      </x:c>
      <x:c r="J22" s="12" t="str">
        <x:v>Non</x:v>
      </x:c>
      <x:c r="K22" s="12" t="str">
        <x:v>NaCl 0,9 %</x:v>
      </x:c>
      <x:c r="L22" s="12" t="n">
        <x:v>5</x:v>
      </x:c>
      <x:c r="M22" s="12" t="n">
        <x:v>40</x:v>
      </x:c>
      <x:c r="N22" s="12" t="str">
        <x:v>mg/mL</x:v>
      </x:c>
      <x:c r="O22" s="12"/>
      <x:c r="P22" s="12"/>
      <x:c r="Q22" s="12" t="n">
        <x:v>4</x:v>
      </x:c>
      <x:c r="R22" s="12" t="n">
        <x:v>25</x:v>
      </x:c>
      <x:c r="S22" s="12" t="str">
        <x:v>RT, 4°C, 25°C</x:v>
      </x:c>
      <x:c r="T22" s="12" t="n">
        <x:v>240</x:v>
      </x:c>
      <x:c r="U22" s="12"/>
      <x:c r="V22" s="12" t="str">
        <x:v>Oui</x:v>
      </x:c>
      <x:c r="W22" s="12" t="str"/>
      <x:c r="X22" s="12" t="str"/>
      <x:c r="Y22" s="12" t="str"/>
      <x:c r="Z22" s="12" t="str">
        <x:v>À compléter</x:v>
      </x:c>
      <x:c r="AA22" s="12" t="str">
        <x:v>Micrel possible selon conditions</x:v>
      </x:c>
      <x:c r="AB22" s="12" t="str">
        <x:v>Vigilance</x:v>
      </x:c>
      <x:c r="AC22" s="12" t="str">
        <x:v>À vérifier</x:v>
      </x:c>
      <x:c r="AD22" s="12" t="str"/>
      <x:c r="AE22" s="12" t="str"/>
      <x:c r="AF22" s="12" t="str">
        <x:v>NaCl 0,9 % ; conc 5–40 mg/mL ; stab FT 10 j ; RT 24 h ; Fortum 4 mg/mL 25°C lumière 24 h ; 40 mg/mL 4°C abri lumière 7 j</x:v>
      </x:c>
      <x:c r="AG22" s="12" t="str">
        <x:v>Donnée spécifique consommables Micrel.</x:v>
      </x:c>
      <x:c r="AH22" s="12" t="str"/>
      <x:c r="AI22" s="12" t="str"/>
      <x:c r="AJ22" t="str">
        <x:f>XLOOKUP(C22,Sources!$A:$A,Sources!$J:$J,"Non")</x:f>
        <x:v>Non</x:v>
      </x:c>
      <x:c r="AK22" t="str">
        <x:f>XLOOKUP(C22,Sources!$A:$A,Sources!$K:$K,"À décider")</x:f>
        <x:v>À décider</x:v>
      </x:c>
      <x:c r="AL22" t="str">
        <x:f>XLOOKUP(C22,Sources!$A:$A,Sources!$L:$L,"Non")</x:f>
        <x:v>Non</x:v>
      </x:c>
      <x:c r="AM22" t="str">
        <x:f>XLOOKUP(C22,Sources!$A:$A,Sources!$M:$M,"Non")</x:f>
        <x:v>Non</x:v>
      </x:c>
      <x:c r="AN22" t="str">
        <x:f>XLOOKUP(C22,Sources!$A:$A,Sources!$N:$N,"À valider")</x:f>
        <x:v>À valider</x:v>
      </x:c>
    </x:row>
    <x:row r="23" ht="18" customHeight="1">
      <x:c r="A23" s="12" t="str">
        <x:v>STAB0022</x:v>
      </x:c>
      <x:c r="B23" s="12" t="str">
        <x:v>Ceftazidime</x:v>
      </x:c>
      <x:c r="C23" s="12" t="str">
        <x:v>SRC013</x:v>
      </x:c>
      <x:c r="D23" s="12" t="str">
        <x:v>PubMed – littérature sélectionnée</x:v>
      </x:c>
      <x:c r="E23" s="12" t="str">
        <x:v>Publication</x:v>
      </x:c>
      <x:c r="F23" s="12" t="str">
        <x:v>pse</x:v>
      </x:c>
      <x:c r="G23" s="12" t="str">
        <x:v>PSE seringue PP</x:v>
      </x:c>
      <x:c r="H23" s="12" t="str">
        <x:v>Perfusion continue ambulatoire ; diffuseur élastomère</x:v>
      </x:c>
      <x:c r="I23" s="12" t="str">
        <x:v>Oui</x:v>
      </x:c>
      <x:c r="J23" s="12" t="str">
        <x:v>Non</x:v>
      </x:c>
      <x:c r="K23" s="12" t="str"/>
      <x:c r="L23" s="12"/>
      <x:c r="M23" s="12"/>
      <x:c r="N23" s="12" t="str"/>
      <x:c r="O23" s="12"/>
      <x:c r="P23" s="12"/>
      <x:c r="Q23" s="12"/>
      <x:c r="R23" s="12"/>
      <x:c r="S23" s="12" t="str"/>
      <x:c r="T23" s="12" t="n">
        <x:v>24</x:v>
      </x:c>
      <x:c r="U23" s="12"/>
      <x:c r="V23" s="12" t="str"/>
      <x:c r="W23" s="12" t="str"/>
      <x:c r="X23" s="12" t="str"/>
      <x:c r="Y23" s="12" t="str"/>
      <x:c r="Z23" s="12" t="str">
        <x:v>À compléter</x:v>
      </x:c>
      <x:c r="AA23" s="12" t="str">
        <x:v>Perfusion continue possible avec vigilance thermique</x:v>
      </x:c>
      <x:c r="AB23" s="12" t="str">
        <x:v>Critique</x:v>
      </x:c>
      <x:c r="AC23" s="12" t="str">
        <x:v>À vérifier</x:v>
      </x:c>
      <x:c r="AD23" s="12" t="str"/>
      <x:c r="AE23" s="12" t="str"/>
      <x:c r="AF23" s="12" t="str">
        <x:v>Seringue PP ; données compatibles 12–24 h selon concentration/température</x:v>
      </x:c>
      <x:c r="AG23" s="12" t="str">
        <x:v>Ne pas extrapoler les données élastomère aux poches classiques ni à ANAPA.</x:v>
      </x:c>
      <x:c r="AH23" s="12" t="str"/>
      <x:c r="AI23" s="12" t="str">
        <x:v>https://pubmed.ncbi.nlm.nih.gov/22478981/</x:v>
      </x:c>
      <x:c r="AJ23" t="str">
        <x:f>XLOOKUP(C23,Sources!$A:$A,Sources!$J:$J,"Non")</x:f>
        <x:v>Non</x:v>
      </x:c>
      <x:c r="AK23" t="str">
        <x:f>XLOOKUP(C23,Sources!$A:$A,Sources!$K:$K,"À décider")</x:f>
        <x:v>À décider</x:v>
      </x:c>
      <x:c r="AL23" t="str">
        <x:f>XLOOKUP(C23,Sources!$A:$A,Sources!$L:$L,"Non")</x:f>
        <x:v>Non</x:v>
      </x:c>
      <x:c r="AM23" t="str">
        <x:f>XLOOKUP(C23,Sources!$A:$A,Sources!$M:$M,"Non")</x:f>
        <x:v>Non</x:v>
      </x:c>
      <x:c r="AN23" t="str">
        <x:f>XLOOKUP(C23,Sources!$A:$A,Sources!$N:$N,"À valider")</x:f>
        <x:v>À valider</x:v>
      </x:c>
    </x:row>
    <x:row r="24" ht="18" customHeight="1">
      <x:c r="A24" s="12" t="str">
        <x:v>STAB0023</x:v>
      </x:c>
      <x:c r="B24" s="12" t="str">
        <x:v>Ceftazidime</x:v>
      </x:c>
      <x:c r="C24" s="12" t="str">
        <x:v>SRC013</x:v>
      </x:c>
      <x:c r="D24" s="12" t="str">
        <x:v>PubMed – littérature sélectionnée</x:v>
      </x:c>
      <x:c r="E24" s="12" t="str">
        <x:v>Publication</x:v>
      </x:c>
      <x:c r="F24" s="12" t="str">
        <x:v>elastomere</x:v>
      </x:c>
      <x:c r="G24" s="12" t="str">
        <x:v>Diffuseur élastomère</x:v>
      </x:c>
      <x:c r="H24" s="12" t="str">
        <x:v>Perfusion continue ambulatoire ; diffuseur élastomère</x:v>
      </x:c>
      <x:c r="I24" s="12" t="str">
        <x:v>Oui</x:v>
      </x:c>
      <x:c r="J24" s="12" t="str">
        <x:v>Non</x:v>
      </x:c>
      <x:c r="K24" s="12" t="str">
        <x:v>NaCl 0,9 %</x:v>
      </x:c>
      <x:c r="L24" s="12" t="n">
        <x:v>25</x:v>
      </x:c>
      <x:c r="M24" s="12" t="n">
        <x:v>120</x:v>
      </x:c>
      <x:c r="N24" s="12" t="str">
        <x:v>mg/mL</x:v>
      </x:c>
      <x:c r="O24" s="12"/>
      <x:c r="P24" s="12"/>
      <x:c r="Q24" s="12" t="n">
        <x:v>25</x:v>
      </x:c>
      <x:c r="R24" s="12" t="n">
        <x:v>25</x:v>
      </x:c>
      <x:c r="S24" s="12" t="str">
        <x:v>25°C</x:v>
      </x:c>
      <x:c r="T24" s="12" t="n">
        <x:v>24</x:v>
      </x:c>
      <x:c r="U24" s="12"/>
      <x:c r="V24" s="12" t="str"/>
      <x:c r="W24" s="12" t="str"/>
      <x:c r="X24" s="12" t="str"/>
      <x:c r="Y24" s="12" t="str"/>
      <x:c r="Z24" s="12" t="str">
        <x:v>À compléter</x:v>
      </x:c>
      <x:c r="AA24" s="12" t="str">
        <x:v>Perfusion continue possible avec vigilance thermique</x:v>
      </x:c>
      <x:c r="AB24" s="12" t="str">
        <x:v>Critique</x:v>
      </x:c>
      <x:c r="AC24" s="12" t="str">
        <x:v>À vérifier</x:v>
      </x:c>
      <x:c r="AD24" s="12" t="str"/>
      <x:c r="AE24" s="12" t="str"/>
      <x:c r="AF24" s="12" t="str">
        <x:v>NaCl 0,9 % ; diffuseur élastomère ; conc 25–120 mg/mL ; stabilité très dépendante température ; plusieurs études limitent le 24 h &gt;25°C</x:v>
      </x:c>
      <x:c r="AG24" s="12" t="str">
        <x:v>Ne pas extrapoler les données élastomère aux poches classiques ni à ANAPA.</x:v>
      </x:c>
      <x:c r="AH24" s="12" t="str"/>
      <x:c r="AI24" s="12" t="str">
        <x:v>https://pubmed.ncbi.nlm.nih.gov/22478981/</x:v>
      </x:c>
      <x:c r="AJ24" t="str">
        <x:f>XLOOKUP(C24,Sources!$A:$A,Sources!$J:$J,"Non")</x:f>
        <x:v>Non</x:v>
      </x:c>
      <x:c r="AK24" t="str">
        <x:f>XLOOKUP(C24,Sources!$A:$A,Sources!$K:$K,"À décider")</x:f>
        <x:v>À décider</x:v>
      </x:c>
      <x:c r="AL24" t="str">
        <x:f>XLOOKUP(C24,Sources!$A:$A,Sources!$L:$L,"Non")</x:f>
        <x:v>Non</x:v>
      </x:c>
      <x:c r="AM24" t="str">
        <x:f>XLOOKUP(C24,Sources!$A:$A,Sources!$M:$M,"Non")</x:f>
        <x:v>Non</x:v>
      </x:c>
      <x:c r="AN24" t="str">
        <x:f>XLOOKUP(C24,Sources!$A:$A,Sources!$N:$N,"À valider")</x:f>
        <x:v>À valider</x:v>
      </x:c>
    </x:row>
    <x:row r="25" ht="18" customHeight="1">
      <x:c r="A25" s="12" t="str">
        <x:v>STAB0024</x:v>
      </x:c>
      <x:c r="B25" s="12" t="str">
        <x:v>Céfépime</x:v>
      </x:c>
      <x:c r="C25" s="12" t="str">
        <x:v>SRC014</x:v>
      </x:c>
      <x:c r="D25" s="12" t="str">
        <x:v>SPILF/SFPC 2025</x:v>
      </x:c>
      <x:c r="E25" s="12" t="str">
        <x:v>Guideline</x:v>
      </x:c>
      <x:c r="F25" s="12" t="str">
        <x:v>poche</x:v>
      </x:c>
      <x:c r="G25" s="12" t="str">
        <x:v>Poche soluté classique</x:v>
      </x:c>
      <x:c r="H25" s="12" t="str">
        <x:v>Continu possible ; prolongée possible</x:v>
      </x:c>
      <x:c r="I25" s="12" t="str">
        <x:v>Oui</x:v>
      </x:c>
      <x:c r="J25" s="12" t="str">
        <x:v>Non</x:v>
      </x:c>
      <x:c r="K25" s="12" t="str">
        <x:v>NaCl 0,9 % / G5</x:v>
      </x:c>
      <x:c r="L25" s="12" t="n">
        <x:v>2.5</x:v>
      </x:c>
      <x:c r="M25" s="12" t="n">
        <x:v>125</x:v>
      </x:c>
      <x:c r="N25" s="12" t="str">
        <x:v>mg/mL</x:v>
      </x:c>
      <x:c r="O25" s="12"/>
      <x:c r="P25" s="12"/>
      <x:c r="Q25" s="12"/>
      <x:c r="R25" s="12"/>
      <x:c r="S25" s="12" t="str"/>
      <x:c r="T25" s="12" t="n">
        <x:v>24</x:v>
      </x:c>
      <x:c r="U25" s="12"/>
      <x:c r="V25" s="12" t="str"/>
      <x:c r="W25" s="12" t="str"/>
      <x:c r="X25" s="12" t="str"/>
      <x:c r="Y25" s="12" t="str"/>
      <x:c r="Z25" s="12" t="str">
        <x:v>À compléter</x:v>
      </x:c>
      <x:c r="AA25" s="12" t="str">
        <x:v>Continu/prolongé possible</x:v>
      </x:c>
      <x:c r="AB25" s="12" t="str">
        <x:v>OK</x:v>
      </x:c>
      <x:c r="AC25" s="12" t="str">
        <x:v>À vérifier</x:v>
      </x:c>
      <x:c r="AD25" s="12" t="str"/>
      <x:c r="AE25" s="12" t="str"/>
      <x:c r="AF25" s="12" t="str">
        <x:v>NaCl 0,9 % ou G5 ; conc 2,5–125 mg/mL ; stab 24 h</x:v>
      </x:c>
      <x:c r="AG25" s="12" t="str">
        <x:v>Comparer avec protocoles locaux si fractionnement plus court.</x:v>
      </x:c>
      <x:c r="AH25" s="12" t="str"/>
      <x:c r="AI25" s="12" t="str"/>
      <x:c r="AJ25" t="str">
        <x:f>XLOOKUP(C25,Sources!$A:$A,Sources!$J:$J,"Non")</x:f>
        <x:v>Non</x:v>
      </x:c>
      <x:c r="AK25" t="str">
        <x:f>XLOOKUP(C25,Sources!$A:$A,Sources!$K:$K,"À décider")</x:f>
        <x:v>À décider</x:v>
      </x:c>
      <x:c r="AL25" t="str">
        <x:f>XLOOKUP(C25,Sources!$A:$A,Sources!$L:$L,"Non")</x:f>
        <x:v>Non</x:v>
      </x:c>
      <x:c r="AM25" t="str">
        <x:f>XLOOKUP(C25,Sources!$A:$A,Sources!$M:$M,"Non")</x:f>
        <x:v>Non</x:v>
      </x:c>
      <x:c r="AN25" t="str">
        <x:f>XLOOKUP(C25,Sources!$A:$A,Sources!$N:$N,"À valider")</x:f>
        <x:v>À valider</x:v>
      </x:c>
    </x:row>
    <x:row r="26" ht="18" customHeight="1">
      <x:c r="A26" s="12" t="str">
        <x:v>STAB0025</x:v>
      </x:c>
      <x:c r="B26" s="12" t="str">
        <x:v>Céfépime</x:v>
      </x:c>
      <x:c r="C26" s="12" t="str">
        <x:v>SRC014</x:v>
      </x:c>
      <x:c r="D26" s="12" t="str">
        <x:v>SPILF/SFPC 2025</x:v>
      </x:c>
      <x:c r="E26" s="12" t="str">
        <x:v>Guideline</x:v>
      </x:c>
      <x:c r="F26" s="12" t="str">
        <x:v>pse</x:v>
      </x:c>
      <x:c r="G26" s="12" t="str">
        <x:v>PSE seringue PP</x:v>
      </x:c>
      <x:c r="H26" s="12" t="str">
        <x:v>Continu possible ; prolongée possible</x:v>
      </x:c>
      <x:c r="I26" s="12" t="str">
        <x:v>Oui</x:v>
      </x:c>
      <x:c r="J26" s="12" t="str">
        <x:v>Non</x:v>
      </x:c>
      <x:c r="K26" s="12" t="str">
        <x:v>NaCl 0,9 %</x:v>
      </x:c>
      <x:c r="L26" s="12"/>
      <x:c r="M26" s="12" t="n">
        <x:v>125</x:v>
      </x:c>
      <x:c r="N26" s="12" t="str">
        <x:v>mg/mL</x:v>
      </x:c>
      <x:c r="O26" s="12"/>
      <x:c r="P26" s="12"/>
      <x:c r="Q26" s="12"/>
      <x:c r="R26" s="12"/>
      <x:c r="S26" s="12" t="str"/>
      <x:c r="T26" s="12" t="n">
        <x:v>24</x:v>
      </x:c>
      <x:c r="U26" s="12"/>
      <x:c r="V26" s="12" t="str"/>
      <x:c r="W26" s="12" t="str"/>
      <x:c r="X26" s="12" t="str"/>
      <x:c r="Y26" s="12" t="str"/>
      <x:c r="Z26" s="12" t="str">
        <x:v>À compléter</x:v>
      </x:c>
      <x:c r="AA26" s="12" t="str">
        <x:v>Continu/prolongé possible</x:v>
      </x:c>
      <x:c r="AB26" s="12" t="str">
        <x:v>OK</x:v>
      </x:c>
      <x:c r="AC26" s="12" t="str">
        <x:v>À vérifier</x:v>
      </x:c>
      <x:c r="AD26" s="12" t="str"/>
      <x:c r="AE26" s="12" t="str"/>
      <x:c r="AF26" s="12" t="str">
        <x:v>NaCl 0,9 % ; conc max 125 mg/mL ; stab 24 h possible ; ex 4–6 g/48 mL/24 h</x:v>
      </x:c>
      <x:c r="AG26" s="12" t="str">
        <x:v>Comparer avec protocoles locaux si fractionnement plus court.</x:v>
      </x:c>
      <x:c r="AH26" s="12" t="str"/>
      <x:c r="AI26" s="12" t="str"/>
      <x:c r="AJ26" t="str">
        <x:f>XLOOKUP(C26,Sources!$A:$A,Sources!$J:$J,"Non")</x:f>
        <x:v>Non</x:v>
      </x:c>
      <x:c r="AK26" t="str">
        <x:f>XLOOKUP(C26,Sources!$A:$A,Sources!$K:$K,"À décider")</x:f>
        <x:v>À décider</x:v>
      </x:c>
      <x:c r="AL26" t="str">
        <x:f>XLOOKUP(C26,Sources!$A:$A,Sources!$L:$L,"Non")</x:f>
        <x:v>Non</x:v>
      </x:c>
      <x:c r="AM26" t="str">
        <x:f>XLOOKUP(C26,Sources!$A:$A,Sources!$M:$M,"Non")</x:f>
        <x:v>Non</x:v>
      </x:c>
      <x:c r="AN26" t="str">
        <x:f>XLOOKUP(C26,Sources!$A:$A,Sources!$N:$N,"À valider")</x:f>
        <x:v>À valider</x:v>
      </x:c>
    </x:row>
    <x:row r="27" ht="18" customHeight="1">
      <x:c r="A27" s="12" t="str">
        <x:v>STAB0026</x:v>
      </x:c>
      <x:c r="B27" s="12" t="str">
        <x:v>Céfépime</x:v>
      </x:c>
      <x:c r="C27" s="12" t="str">
        <x:v>SRC010</x:v>
      </x:c>
      <x:c r="D27" s="12" t="str">
        <x:v>Micrel – données internes du laboratoire</x:v>
      </x:c>
      <x:c r="E27" s="12" t="str">
        <x:v>Protocole local</x:v>
      </x:c>
      <x:c r="F27" s="12" t="str">
        <x:v>micrel</x:v>
      </x:c>
      <x:c r="G27" s="12" t="str">
        <x:v>Pompe Rythmic / Micrel</x:v>
      </x:c>
      <x:c r="H27" s="12" t="str">
        <x:v>Pompe Rythmic PVC</x:v>
      </x:c>
      <x:c r="I27" s="12" t="str">
        <x:v>Oui</x:v>
      </x:c>
      <x:c r="J27" s="12" t="str">
        <x:v>Non</x:v>
      </x:c>
      <x:c r="K27" s="12" t="str">
        <x:v>NaCl 0,9 %</x:v>
      </x:c>
      <x:c r="L27" s="12" t="n">
        <x:v>5</x:v>
      </x:c>
      <x:c r="M27" s="12" t="n">
        <x:v>60</x:v>
      </x:c>
      <x:c r="N27" s="12" t="str">
        <x:v>mg/mL</x:v>
      </x:c>
      <x:c r="O27" s="12"/>
      <x:c r="P27" s="12"/>
      <x:c r="Q27" s="12"/>
      <x:c r="R27" s="12"/>
      <x:c r="S27" s="12" t="str">
        <x:v>RT</x:v>
      </x:c>
      <x:c r="T27" s="12" t="n">
        <x:v>168</x:v>
      </x:c>
      <x:c r="U27" s="12"/>
      <x:c r="V27" s="12" t="str"/>
      <x:c r="W27" s="12" t="str"/>
      <x:c r="X27" s="12" t="str"/>
      <x:c r="Y27" s="12" t="str"/>
      <x:c r="Z27" s="12" t="str">
        <x:v>À compléter</x:v>
      </x:c>
      <x:c r="AA27" s="12" t="str">
        <x:v>Micrel possible</x:v>
      </x:c>
      <x:c r="AB27" s="12" t="str">
        <x:v>OK</x:v>
      </x:c>
      <x:c r="AC27" s="12" t="str">
        <x:v>À vérifier</x:v>
      </x:c>
      <x:c r="AD27" s="12" t="str"/>
      <x:c r="AE27" s="12" t="str"/>
      <x:c r="AF27" s="12" t="str">
        <x:v>NaCl 0,9 % ; conc 5–60 mg/mL ; stab FT 7 j ; RT 24 h</x:v>
      </x:c>
      <x:c r="AG27" s="12" t="str">
        <x:v>Donnée spécifique contenant.</x:v>
      </x:c>
      <x:c r="AH27" s="12" t="str"/>
      <x:c r="AI27" s="12" t="str"/>
      <x:c r="AJ27" t="str">
        <x:f>XLOOKUP(C27,Sources!$A:$A,Sources!$J:$J,"Non")</x:f>
        <x:v>Non</x:v>
      </x:c>
      <x:c r="AK27" t="str">
        <x:f>XLOOKUP(C27,Sources!$A:$A,Sources!$K:$K,"À décider")</x:f>
        <x:v>À décider</x:v>
      </x:c>
      <x:c r="AL27" t="str">
        <x:f>XLOOKUP(C27,Sources!$A:$A,Sources!$L:$L,"Non")</x:f>
        <x:v>Non</x:v>
      </x:c>
      <x:c r="AM27" t="str">
        <x:f>XLOOKUP(C27,Sources!$A:$A,Sources!$M:$M,"Non")</x:f>
        <x:v>Non</x:v>
      </x:c>
      <x:c r="AN27" t="str">
        <x:f>XLOOKUP(C27,Sources!$A:$A,Sources!$N:$N,"À valider")</x:f>
        <x:v>À valider</x:v>
      </x:c>
    </x:row>
    <x:row r="28" ht="18" customHeight="1">
      <x:c r="A28" s="12" t="str">
        <x:v>STAB0027</x:v>
      </x:c>
      <x:c r="B28" s="12" t="str">
        <x:v>Céfazoline</x:v>
      </x:c>
      <x:c r="C28" s="12" t="str">
        <x:v>SRC014</x:v>
      </x:c>
      <x:c r="D28" s="12" t="str">
        <x:v>SPILF/SFPC 2025</x:v>
      </x:c>
      <x:c r="E28" s="12" t="str">
        <x:v>Guideline</x:v>
      </x:c>
      <x:c r="F28" s="12" t="str">
        <x:v>poche</x:v>
      </x:c>
      <x:c r="G28" s="12" t="str">
        <x:v>Poche soluté classique</x:v>
      </x:c>
      <x:c r="H28" s="12" t="str">
        <x:v>Continu possible</x:v>
      </x:c>
      <x:c r="I28" s="12" t="str">
        <x:v>Oui</x:v>
      </x:c>
      <x:c r="J28" s="12" t="str">
        <x:v>Non</x:v>
      </x:c>
      <x:c r="K28" s="12" t="str">
        <x:v>NaCl 0,9 % / G5</x:v>
      </x:c>
      <x:c r="L28" s="12"/>
      <x:c r="M28" s="12" t="n">
        <x:v>125</x:v>
      </x:c>
      <x:c r="N28" s="12" t="str">
        <x:v>mg/mL</x:v>
      </x:c>
      <x:c r="O28" s="12"/>
      <x:c r="P28" s="12"/>
      <x:c r="Q28" s="12"/>
      <x:c r="R28" s="12"/>
      <x:c r="S28" s="12" t="str"/>
      <x:c r="T28" s="12" t="n">
        <x:v>24</x:v>
      </x:c>
      <x:c r="U28" s="12"/>
      <x:c r="V28" s="12" t="str"/>
      <x:c r="W28" s="12" t="str"/>
      <x:c r="X28" s="12" t="str"/>
      <x:c r="Y28" s="12" t="str"/>
      <x:c r="Z28" s="12" t="str">
        <x:v>À compléter</x:v>
      </x:c>
      <x:c r="AA28" s="12" t="str">
        <x:v>Continu possible</x:v>
      </x:c>
      <x:c r="AB28" s="12" t="str">
        <x:v>OK</x:v>
      </x:c>
      <x:c r="AC28" s="12" t="str">
        <x:v>À vérifier</x:v>
      </x:c>
      <x:c r="AD28" s="12" t="str"/>
      <x:c r="AE28" s="12" t="str"/>
      <x:c r="AF28" s="12" t="str">
        <x:v>NaCl 0,9 % ; conc max 125 mg/mL ; stab &gt;24 h / G5 ; conc 125 mg/mL ; stab 24 h</x:v>
      </x:c>
      <x:c r="AG28" s="12" t="str">
        <x:v>Molécule favorable aux stratégies prolongées/continues.</x:v>
      </x:c>
      <x:c r="AH28" s="12" t="str"/>
      <x:c r="AI28" s="12" t="str"/>
      <x:c r="AJ28" t="str">
        <x:f>XLOOKUP(C28,Sources!$A:$A,Sources!$J:$J,"Non")</x:f>
        <x:v>Non</x:v>
      </x:c>
      <x:c r="AK28" t="str">
        <x:f>XLOOKUP(C28,Sources!$A:$A,Sources!$K:$K,"À décider")</x:f>
        <x:v>À décider</x:v>
      </x:c>
      <x:c r="AL28" t="str">
        <x:f>XLOOKUP(C28,Sources!$A:$A,Sources!$L:$L,"Non")</x:f>
        <x:v>Non</x:v>
      </x:c>
      <x:c r="AM28" t="str">
        <x:f>XLOOKUP(C28,Sources!$A:$A,Sources!$M:$M,"Non")</x:f>
        <x:v>Non</x:v>
      </x:c>
      <x:c r="AN28" t="str">
        <x:f>XLOOKUP(C28,Sources!$A:$A,Sources!$N:$N,"À valider")</x:f>
        <x:v>À valider</x:v>
      </x:c>
    </x:row>
    <x:row r="29" ht="18" customHeight="1">
      <x:c r="A29" s="12" t="str">
        <x:v>STAB0028</x:v>
      </x:c>
      <x:c r="B29" s="12" t="str">
        <x:v>Céfazoline</x:v>
      </x:c>
      <x:c r="C29" s="12" t="str">
        <x:v>SRC014</x:v>
      </x:c>
      <x:c r="D29" s="12" t="str">
        <x:v>SPILF/SFPC 2025</x:v>
      </x:c>
      <x:c r="E29" s="12" t="str">
        <x:v>Guideline</x:v>
      </x:c>
      <x:c r="F29" s="12" t="str">
        <x:v>pse</x:v>
      </x:c>
      <x:c r="G29" s="12" t="str">
        <x:v>PSE seringue PP</x:v>
      </x:c>
      <x:c r="H29" s="12" t="str">
        <x:v>Continu possible</x:v>
      </x:c>
      <x:c r="I29" s="12" t="str">
        <x:v>Oui</x:v>
      </x:c>
      <x:c r="J29" s="12" t="str">
        <x:v>Non</x:v>
      </x:c>
      <x:c r="K29" s="12" t="str">
        <x:v>NaCl 0,9 %</x:v>
      </x:c>
      <x:c r="L29" s="12"/>
      <x:c r="M29" s="12" t="n">
        <x:v>125</x:v>
      </x:c>
      <x:c r="N29" s="12" t="str">
        <x:v>mg/mL</x:v>
      </x:c>
      <x:c r="O29" s="12"/>
      <x:c r="P29" s="12"/>
      <x:c r="Q29" s="12"/>
      <x:c r="R29" s="12"/>
      <x:c r="S29" s="12" t="str"/>
      <x:c r="T29" s="12" t="n">
        <x:v>24</x:v>
      </x:c>
      <x:c r="U29" s="12"/>
      <x:c r="V29" s="12" t="str"/>
      <x:c r="W29" s="12" t="str"/>
      <x:c r="X29" s="12" t="str"/>
      <x:c r="Y29" s="12" t="str"/>
      <x:c r="Z29" s="12" t="str">
        <x:v>À compléter</x:v>
      </x:c>
      <x:c r="AA29" s="12" t="str">
        <x:v>Continu possible</x:v>
      </x:c>
      <x:c r="AB29" s="12" t="str">
        <x:v>OK</x:v>
      </x:c>
      <x:c r="AC29" s="12" t="str">
        <x:v>À vérifier</x:v>
      </x:c>
      <x:c r="AD29" s="12" t="str"/>
      <x:c r="AE29" s="12" t="str"/>
      <x:c r="AF29" s="12" t="str">
        <x:v>NaCl 0,9 % ; conc max 125 mg/mL ; stab 24 h possible ; ex 6 g/48 mL/24 h ou 4 g/48 mL/12 h x2</x:v>
      </x:c>
      <x:c r="AG29" s="12" t="str">
        <x:v>Molécule favorable aux stratégies prolongées/continues.</x:v>
      </x:c>
      <x:c r="AH29" s="12" t="str"/>
      <x:c r="AI29" s="12" t="str"/>
      <x:c r="AJ29" t="str">
        <x:f>XLOOKUP(C29,Sources!$A:$A,Sources!$J:$J,"Non")</x:f>
        <x:v>Non</x:v>
      </x:c>
      <x:c r="AK29" t="str">
        <x:f>XLOOKUP(C29,Sources!$A:$A,Sources!$K:$K,"À décider")</x:f>
        <x:v>À décider</x:v>
      </x:c>
      <x:c r="AL29" t="str">
        <x:f>XLOOKUP(C29,Sources!$A:$A,Sources!$L:$L,"Non")</x:f>
        <x:v>Non</x:v>
      </x:c>
      <x:c r="AM29" t="str">
        <x:f>XLOOKUP(C29,Sources!$A:$A,Sources!$M:$M,"Non")</x:f>
        <x:v>Non</x:v>
      </x:c>
      <x:c r="AN29" t="str">
        <x:f>XLOOKUP(C29,Sources!$A:$A,Sources!$N:$N,"À valider")</x:f>
        <x:v>À valider</x:v>
      </x:c>
    </x:row>
    <x:row r="30" ht="18" customHeight="1">
      <x:c r="A30" s="12" t="str">
        <x:v>STAB0029</x:v>
      </x:c>
      <x:c r="B30" s="12" t="str">
        <x:v>Céfotaxime</x:v>
      </x:c>
      <x:c r="C30" s="12" t="str">
        <x:v>SRC014</x:v>
      </x:c>
      <x:c r="D30" s="12" t="str">
        <x:v>SPILF/SFPC 2025</x:v>
      </x:c>
      <x:c r="E30" s="12" t="str">
        <x:v>Guideline</x:v>
      </x:c>
      <x:c r="F30" s="12" t="str">
        <x:v>poche</x:v>
      </x:c>
      <x:c r="G30" s="12" t="str">
        <x:v>Poche soluté classique</x:v>
      </x:c>
      <x:c r="H30" s="12" t="str">
        <x:v>Continu possible ; stabilité concentration-dépendante</x:v>
      </x:c>
      <x:c r="I30" s="12" t="str">
        <x:v>Oui</x:v>
      </x:c>
      <x:c r="J30" s="12" t="str">
        <x:v>Non</x:v>
      </x:c>
      <x:c r="K30" s="12" t="str">
        <x:v>NaCl 0,9 % / G5</x:v>
      </x:c>
      <x:c r="L30" s="12" t="n">
        <x:v>10</x:v>
      </x:c>
      <x:c r="M30" s="12" t="n">
        <x:v>50</x:v>
      </x:c>
      <x:c r="N30" s="12" t="str">
        <x:v>mg/mL</x:v>
      </x:c>
      <x:c r="O30" s="12"/>
      <x:c r="P30" s="12"/>
      <x:c r="Q30" s="12"/>
      <x:c r="R30" s="12"/>
      <x:c r="S30" s="12" t="str"/>
      <x:c r="T30" s="12" t="n">
        <x:v>24</x:v>
      </x:c>
      <x:c r="U30" s="12"/>
      <x:c r="V30" s="12" t="str"/>
      <x:c r="W30" s="12" t="str"/>
      <x:c r="X30" s="12" t="str"/>
      <x:c r="Y30" s="12" t="str"/>
      <x:c r="Z30" s="12" t="str">
        <x:v>À compléter</x:v>
      </x:c>
      <x:c r="AA30" s="12" t="str">
        <x:v>Continu possible si concentration adaptée</x:v>
      </x:c>
      <x:c r="AB30" s="12" t="str">
        <x:v>Critique</x:v>
      </x:c>
      <x:c r="AC30" s="12" t="str">
        <x:v>À vérifier</x:v>
      </x:c>
      <x:c r="AD30" s="12" t="str"/>
      <x:c r="AE30" s="12" t="str"/>
      <x:c r="AF30" s="12" t="str">
        <x:v>NaCl 0,9 % ; conc 10–50 mg/mL ; stab 24 h / G5 ; conc 10–20 mg/mL ; stab 24 h / NaCl 0,9 % ou G5 ; conc 83,3–125 mg/mL ; stab 6 h</x:v>
      </x:c>
      <x:c r="AG30" s="12" t="str">
        <x:v>Éviter extrapolation aux fortes concentrations.</x:v>
      </x:c>
      <x:c r="AH30" s="12" t="str"/>
      <x:c r="AI30" s="12" t="str"/>
      <x:c r="AJ30" t="str">
        <x:f>XLOOKUP(C30,Sources!$A:$A,Sources!$J:$J,"Non")</x:f>
        <x:v>Non</x:v>
      </x:c>
      <x:c r="AK30" t="str">
        <x:f>XLOOKUP(C30,Sources!$A:$A,Sources!$K:$K,"À décider")</x:f>
        <x:v>À décider</x:v>
      </x:c>
      <x:c r="AL30" t="str">
        <x:f>XLOOKUP(C30,Sources!$A:$A,Sources!$L:$L,"Non")</x:f>
        <x:v>Non</x:v>
      </x:c>
      <x:c r="AM30" t="str">
        <x:f>XLOOKUP(C30,Sources!$A:$A,Sources!$M:$M,"Non")</x:f>
        <x:v>Non</x:v>
      </x:c>
      <x:c r="AN30" t="str">
        <x:f>XLOOKUP(C30,Sources!$A:$A,Sources!$N:$N,"À valider")</x:f>
        <x:v>À valider</x:v>
      </x:c>
    </x:row>
    <x:row r="31" ht="18" customHeight="1">
      <x:c r="A31" s="12" t="str">
        <x:v>STAB0030</x:v>
      </x:c>
      <x:c r="B31" s="12" t="str">
        <x:v>Céfotaxime</x:v>
      </x:c>
      <x:c r="C31" s="12" t="str">
        <x:v>SRC014</x:v>
      </x:c>
      <x:c r="D31" s="12" t="str">
        <x:v>SPILF/SFPC 2025</x:v>
      </x:c>
      <x:c r="E31" s="12" t="str">
        <x:v>Guideline</x:v>
      </x:c>
      <x:c r="F31" s="12" t="str">
        <x:v>pse</x:v>
      </x:c>
      <x:c r="G31" s="12" t="str">
        <x:v>PSE seringue PP</x:v>
      </x:c>
      <x:c r="H31" s="12" t="str">
        <x:v>Continu possible ; stabilité concentration-dépendante</x:v>
      </x:c>
      <x:c r="I31" s="12" t="str">
        <x:v>Oui</x:v>
      </x:c>
      <x:c r="J31" s="12" t="str">
        <x:v>Non</x:v>
      </x:c>
      <x:c r="K31" s="12" t="str">
        <x:v>NaCl 0,9 %</x:v>
      </x:c>
      <x:c r="L31" s="12" t="n">
        <x:v>50</x:v>
      </x:c>
      <x:c r="M31" s="12" t="n">
        <x:v>50</x:v>
      </x:c>
      <x:c r="N31" s="12" t="str">
        <x:v>mg/mL</x:v>
      </x:c>
      <x:c r="O31" s="12"/>
      <x:c r="P31" s="12"/>
      <x:c r="Q31" s="12"/>
      <x:c r="R31" s="12"/>
      <x:c r="S31" s="12" t="str"/>
      <x:c r="T31" s="12"/>
      <x:c r="U31" s="12"/>
      <x:c r="V31" s="12" t="str"/>
      <x:c r="W31" s="12" t="str"/>
      <x:c r="X31" s="12" t="str"/>
      <x:c r="Y31" s="12" t="str"/>
      <x:c r="Z31" s="12" t="str">
        <x:v>À compléter</x:v>
      </x:c>
      <x:c r="AA31" s="12" t="str">
        <x:v>Continu possible si concentration adaptée</x:v>
      </x:c>
      <x:c r="AB31" s="12" t="str">
        <x:v>Critique</x:v>
      </x:c>
      <x:c r="AC31" s="12" t="str">
        <x:v>À vérifier</x:v>
      </x:c>
      <x:c r="AD31" s="12" t="str"/>
      <x:c r="AE31" s="12" t="str"/>
      <x:c r="AF31" s="12" t="str">
        <x:v>NaCl 0,9 % ; conc max pratique 50 mg/mL ; PSE fractionné</x:v>
      </x:c>
      <x:c r="AG31" s="12" t="str">
        <x:v>Éviter extrapolation aux fortes concentrations.</x:v>
      </x:c>
      <x:c r="AH31" s="12" t="str"/>
      <x:c r="AI31" s="12" t="str"/>
      <x:c r="AJ31" t="str">
        <x:f>XLOOKUP(C31,Sources!$A:$A,Sources!$J:$J,"Non")</x:f>
        <x:v>Non</x:v>
      </x:c>
      <x:c r="AK31" t="str">
        <x:f>XLOOKUP(C31,Sources!$A:$A,Sources!$K:$K,"À décider")</x:f>
        <x:v>À décider</x:v>
      </x:c>
      <x:c r="AL31" t="str">
        <x:f>XLOOKUP(C31,Sources!$A:$A,Sources!$L:$L,"Non")</x:f>
        <x:v>Non</x:v>
      </x:c>
      <x:c r="AM31" t="str">
        <x:f>XLOOKUP(C31,Sources!$A:$A,Sources!$M:$M,"Non")</x:f>
        <x:v>Non</x:v>
      </x:c>
      <x:c r="AN31" t="str">
        <x:f>XLOOKUP(C31,Sources!$A:$A,Sources!$N:$N,"À valider")</x:f>
        <x:v>À valider</x:v>
      </x:c>
    </x:row>
    <x:row r="32" ht="18" customHeight="1">
      <x:c r="A32" s="12" t="str">
        <x:v>STAB0031</x:v>
      </x:c>
      <x:c r="B32" s="12" t="str">
        <x:v>Ceftriaxone</x:v>
      </x:c>
      <x:c r="C32" s="12" t="str">
        <x:v>SRC014</x:v>
      </x:c>
      <x:c r="D32" s="12" t="str">
        <x:v>SPILF/SFPC 2025</x:v>
      </x:c>
      <x:c r="E32" s="12" t="str">
        <x:v>Guideline</x:v>
      </x:c>
      <x:c r="F32" s="12" t="str">
        <x:v>poche</x:v>
      </x:c>
      <x:c r="G32" s="12" t="str">
        <x:v>Poche soluté classique</x:v>
      </x:c>
      <x:c r="H32" s="12" t="str">
        <x:v>Continu possible mais intermittent fréquent</x:v>
      </x:c>
      <x:c r="I32" s="12" t="str">
        <x:v>Oui</x:v>
      </x:c>
      <x:c r="J32" s="12" t="str">
        <x:v>Oui</x:v>
      </x:c>
      <x:c r="K32" s="12" t="str">
        <x:v>NaCl 0,9 % / G5</x:v>
      </x:c>
      <x:c r="L32" s="12" t="n">
        <x:v>20</x:v>
      </x:c>
      <x:c r="M32" s="12" t="n">
        <x:v>40</x:v>
      </x:c>
      <x:c r="N32" s="12" t="str">
        <x:v>mg/mL</x:v>
      </x:c>
      <x:c r="O32" s="12"/>
      <x:c r="P32" s="12"/>
      <x:c r="Q32" s="12"/>
      <x:c r="R32" s="12"/>
      <x:c r="S32" s="12" t="str"/>
      <x:c r="T32" s="12" t="n">
        <x:v>24</x:v>
      </x:c>
      <x:c r="U32" s="12"/>
      <x:c r="V32" s="12" t="str"/>
      <x:c r="W32" s="12" t="str"/>
      <x:c r="X32" s="12" t="str"/>
      <x:c r="Y32" s="12" t="str"/>
      <x:c r="Z32" s="12" t="str">
        <x:v>À compléter</x:v>
      </x:c>
      <x:c r="AA32" s="12" t="str">
        <x:v>Intermittent souvent suffisant</x:v>
      </x:c>
      <x:c r="AB32" s="12" t="str">
        <x:v>Vigilance</x:v>
      </x:c>
      <x:c r="AC32" s="12" t="str">
        <x:v>À vérifier</x:v>
      </x:c>
      <x:c r="AD32" s="12" t="str"/>
      <x:c r="AE32" s="12" t="str"/>
      <x:c r="AF32" s="12" t="str">
        <x:v>NaCl 0,9 % ou G5 ; conc 20–40 mg/mL ; stab 24 h</x:v>
      </x:c>
      <x:c r="AG32" s="12" t="str">
        <x:v>Attention incompatibilité calcium.</x:v>
      </x:c>
      <x:c r="AH32" s="12" t="str"/>
      <x:c r="AI32" s="12" t="str"/>
      <x:c r="AJ32" t="str">
        <x:f>XLOOKUP(C32,Sources!$A:$A,Sources!$J:$J,"Non")</x:f>
        <x:v>Non</x:v>
      </x:c>
      <x:c r="AK32" t="str">
        <x:f>XLOOKUP(C32,Sources!$A:$A,Sources!$K:$K,"À décider")</x:f>
        <x:v>À décider</x:v>
      </x:c>
      <x:c r="AL32" t="str">
        <x:f>XLOOKUP(C32,Sources!$A:$A,Sources!$L:$L,"Non")</x:f>
        <x:v>Non</x:v>
      </x:c>
      <x:c r="AM32" t="str">
        <x:f>XLOOKUP(C32,Sources!$A:$A,Sources!$M:$M,"Non")</x:f>
        <x:v>Non</x:v>
      </x:c>
      <x:c r="AN32" t="str">
        <x:f>XLOOKUP(C32,Sources!$A:$A,Sources!$N:$N,"À valider")</x:f>
        <x:v>À valider</x:v>
      </x:c>
    </x:row>
    <x:row r="33" ht="18" customHeight="1">
      <x:c r="A33" s="12" t="str">
        <x:v>STAB0032</x:v>
      </x:c>
      <x:c r="B33" s="12" t="str">
        <x:v>Ceftriaxone</x:v>
      </x:c>
      <x:c r="C33" s="12" t="str">
        <x:v>SRC014</x:v>
      </x:c>
      <x:c r="D33" s="12" t="str">
        <x:v>SPILF/SFPC 2025</x:v>
      </x:c>
      <x:c r="E33" s="12" t="str">
        <x:v>Guideline</x:v>
      </x:c>
      <x:c r="F33" s="12" t="str">
        <x:v>pse</x:v>
      </x:c>
      <x:c r="G33" s="12" t="str">
        <x:v>PSE seringue PP</x:v>
      </x:c>
      <x:c r="H33" s="12" t="str">
        <x:v>Continu possible mais intermittent fréquent</x:v>
      </x:c>
      <x:c r="I33" s="12" t="str">
        <x:v>Oui</x:v>
      </x:c>
      <x:c r="J33" s="12" t="str">
        <x:v>Oui</x:v>
      </x:c>
      <x:c r="K33" s="12" t="str">
        <x:v>NaCl 0,9 % / G5</x:v>
      </x:c>
      <x:c r="L33" s="12"/>
      <x:c r="M33" s="12" t="n">
        <x:v>40</x:v>
      </x:c>
      <x:c r="N33" s="12" t="str">
        <x:v>mg/mL</x:v>
      </x:c>
      <x:c r="O33" s="12"/>
      <x:c r="P33" s="12"/>
      <x:c r="Q33" s="12"/>
      <x:c r="R33" s="12"/>
      <x:c r="S33" s="12" t="str"/>
      <x:c r="T33" s="12"/>
      <x:c r="U33" s="12"/>
      <x:c r="V33" s="12" t="str"/>
      <x:c r="W33" s="12" t="str"/>
      <x:c r="X33" s="12" t="str"/>
      <x:c r="Y33" s="12" t="str"/>
      <x:c r="Z33" s="12" t="str">
        <x:v>À compléter</x:v>
      </x:c>
      <x:c r="AA33" s="12" t="str">
        <x:v>Intermittent souvent suffisant</x:v>
      </x:c>
      <x:c r="AB33" s="12" t="str">
        <x:v>Vigilance</x:v>
      </x:c>
      <x:c r="AC33" s="12" t="str">
        <x:v>À vérifier</x:v>
      </x:c>
      <x:c r="AD33" s="12" t="str"/>
      <x:c r="AE33" s="12" t="str"/>
      <x:c r="AF33" s="12" t="str">
        <x:v>NaCl 0,9 % ou G5 ; conc max 40 mg/mL ; PSE possible</x:v>
      </x:c>
      <x:c r="AG33" s="12" t="str">
        <x:v>Attention incompatibilité calcium.</x:v>
      </x:c>
      <x:c r="AH33" s="12" t="str"/>
      <x:c r="AI33" s="12" t="str"/>
      <x:c r="AJ33" t="str">
        <x:f>XLOOKUP(C33,Sources!$A:$A,Sources!$J:$J,"Non")</x:f>
        <x:v>Non</x:v>
      </x:c>
      <x:c r="AK33" t="str">
        <x:f>XLOOKUP(C33,Sources!$A:$A,Sources!$K:$K,"À décider")</x:f>
        <x:v>À décider</x:v>
      </x:c>
      <x:c r="AL33" t="str">
        <x:f>XLOOKUP(C33,Sources!$A:$A,Sources!$L:$L,"Non")</x:f>
        <x:v>Non</x:v>
      </x:c>
      <x:c r="AM33" t="str">
        <x:f>XLOOKUP(C33,Sources!$A:$A,Sources!$M:$M,"Non")</x:f>
        <x:v>Non</x:v>
      </x:c>
      <x:c r="AN33" t="str">
        <x:f>XLOOKUP(C33,Sources!$A:$A,Sources!$N:$N,"À valider")</x:f>
        <x:v>À valider</x:v>
      </x:c>
    </x:row>
    <x:row r="34" ht="18" customHeight="1">
      <x:c r="A34" s="12" t="str">
        <x:v>STAB0033</x:v>
      </x:c>
      <x:c r="B34" s="12" t="str">
        <x:v>Ceftriaxone</x:v>
      </x:c>
      <x:c r="C34" s="12" t="str">
        <x:v>SRC010</x:v>
      </x:c>
      <x:c r="D34" s="12" t="str">
        <x:v>Micrel – données internes du laboratoire</x:v>
      </x:c>
      <x:c r="E34" s="12" t="str">
        <x:v>Protocole local</x:v>
      </x:c>
      <x:c r="F34" s="12" t="str">
        <x:v>micrel</x:v>
      </x:c>
      <x:c r="G34" s="12" t="str">
        <x:v>Pompe Rythmic / Micrel</x:v>
      </x:c>
      <x:c r="H34" s="12" t="str">
        <x:v>Pompe Rythmic PVC</x:v>
      </x:c>
      <x:c r="I34" s="12" t="str">
        <x:v>Non</x:v>
      </x:c>
      <x:c r="J34" s="12" t="str">
        <x:v>Non</x:v>
      </x:c>
      <x:c r="K34" s="12" t="str">
        <x:v>NaCl 0,9 % / G5</x:v>
      </x:c>
      <x:c r="L34" s="12"/>
      <x:c r="M34" s="12" t="n">
        <x:v>40</x:v>
      </x:c>
      <x:c r="N34" s="12" t="str">
        <x:v>mg/mL</x:v>
      </x:c>
      <x:c r="O34" s="12"/>
      <x:c r="P34" s="12"/>
      <x:c r="Q34" s="12" t="n">
        <x:v>4</x:v>
      </x:c>
      <x:c r="R34" s="12" t="n">
        <x:v>23</x:v>
      </x:c>
      <x:c r="S34" s="12" t="str">
        <x:v>4°C, 23°C</x:v>
      </x:c>
      <x:c r="T34" s="12" t="n">
        <x:v>720</x:v>
      </x:c>
      <x:c r="U34" s="12"/>
      <x:c r="V34" s="12" t="str">
        <x:v>Oui</x:v>
      </x:c>
      <x:c r="W34" s="12" t="str"/>
      <x:c r="X34" s="12" t="str"/>
      <x:c r="Y34" s="12" t="str"/>
      <x:c r="Z34" s="12" t="str">
        <x:v>À compléter</x:v>
      </x:c>
      <x:c r="AA34" s="12" t="str">
        <x:v>Micrel possible selon conditions</x:v>
      </x:c>
      <x:c r="AB34" s="12" t="str">
        <x:v>Vigilance</x:v>
      </x:c>
      <x:c r="AC34" s="12" t="str">
        <x:v>À vérifier</x:v>
      </x:c>
      <x:c r="AD34" s="12" t="str"/>
      <x:c r="AE34" s="12" t="str"/>
      <x:c r="AF34" s="12" t="str">
        <x:v>NaCl 0,9 % ; conc 40 mg/mL ; stab 3 j à 23°C, 30 j à 4°C abri lumière / G5 ; conc 40 mg/mL ; stab 1 j à 23°C, 14 j à 4°C / G5 ; conc 2 mg/mL ; stab 14 j</x:v>
      </x:c>
      <x:c r="AG34" s="12" t="str">
        <x:v>Soluté et concentration modifient fortement la stabilité.</x:v>
      </x:c>
      <x:c r="AH34" s="12" t="str"/>
      <x:c r="AI34" s="12" t="str"/>
      <x:c r="AJ34" t="str">
        <x:f>XLOOKUP(C34,Sources!$A:$A,Sources!$J:$J,"Non")</x:f>
        <x:v>Non</x:v>
      </x:c>
      <x:c r="AK34" t="str">
        <x:f>XLOOKUP(C34,Sources!$A:$A,Sources!$K:$K,"À décider")</x:f>
        <x:v>À décider</x:v>
      </x:c>
      <x:c r="AL34" t="str">
        <x:f>XLOOKUP(C34,Sources!$A:$A,Sources!$L:$L,"Non")</x:f>
        <x:v>Non</x:v>
      </x:c>
      <x:c r="AM34" t="str">
        <x:f>XLOOKUP(C34,Sources!$A:$A,Sources!$M:$M,"Non")</x:f>
        <x:v>Non</x:v>
      </x:c>
      <x:c r="AN34" t="str">
        <x:f>XLOOKUP(C34,Sources!$A:$A,Sources!$N:$N,"À valider")</x:f>
        <x:v>À valider</x:v>
      </x:c>
    </x:row>
    <x:row r="35" ht="18" customHeight="1">
      <x:c r="A35" s="12" t="str">
        <x:v>STAB0034</x:v>
      </x:c>
      <x:c r="B35" s="12" t="str">
        <x:v>Clindamycine</x:v>
      </x:c>
      <x:c r="C35" s="12" t="str">
        <x:v>SRC003</x:v>
      </x:c>
      <x:c r="D35" s="12" t="str">
        <x:v>CH de Tourcoing 2017 + doc interne récent</x:v>
      </x:c>
      <x:c r="E35" s="12" t="str">
        <x:v>Protocole local</x:v>
      </x:c>
      <x:c r="F35" s="12" t="str">
        <x:v>poche</x:v>
      </x:c>
      <x:c r="G35" s="12" t="str">
        <x:v>Poche soluté classique</x:v>
      </x:c>
      <x:c r="H35" s="12" t="str">
        <x:v>Continu 24 h possible</x:v>
      </x:c>
      <x:c r="I35" s="12" t="str">
        <x:v>Oui</x:v>
      </x:c>
      <x:c r="J35" s="12" t="str">
        <x:v>Non</x:v>
      </x:c>
      <x:c r="K35" s="12" t="str">
        <x:v>NaCl 0,9 % / G5</x:v>
      </x:c>
      <x:c r="L35" s="12"/>
      <x:c r="M35" s="12" t="n">
        <x:v>75</x:v>
      </x:c>
      <x:c r="N35" s="12" t="str">
        <x:v>mg/mL</x:v>
      </x:c>
      <x:c r="O35" s="12"/>
      <x:c r="P35" s="12"/>
      <x:c r="Q35" s="12"/>
      <x:c r="R35" s="12"/>
      <x:c r="S35" s="12" t="str">
        <x:v>RT</x:v>
      </x:c>
      <x:c r="T35" s="12" t="n">
        <x:v>24</x:v>
      </x:c>
      <x:c r="U35" s="12"/>
      <x:c r="V35" s="12" t="str"/>
      <x:c r="W35" s="12" t="str"/>
      <x:c r="X35" s="12" t="str"/>
      <x:c r="Y35" s="12" t="str"/>
      <x:c r="Z35" s="12" t="str">
        <x:v>À compléter</x:v>
      </x:c>
      <x:c r="AA35" s="12" t="str">
        <x:v>Continu possible</x:v>
      </x:c>
      <x:c r="AB35" s="12" t="str">
        <x:v>Vigilance</x:v>
      </x:c>
      <x:c r="AC35" s="12" t="str">
        <x:v>À vérifier</x:v>
      </x:c>
      <x:c r="AD35" s="12" t="str"/>
      <x:c r="AE35" s="12" t="str"/>
      <x:c r="AF35" s="12" t="str">
        <x:v>NaCl 0,9 % ± G5 selon source ; conc max 75 mg/mL ; stab 24 h RT</x:v>
      </x:c>
      <x:c r="AG35" s="12" t="str">
        <x:v>Données favorables au PSE/pompe 24 h.</x:v>
      </x:c>
      <x:c r="AH35" s="12" t="str"/>
      <x:c r="AI35" s="12" t="str"/>
      <x:c r="AJ35" t="str">
        <x:f>XLOOKUP(C35,Sources!$A:$A,Sources!$J:$J,"Non")</x:f>
        <x:v>Oui</x:v>
      </x:c>
      <x:c r="AK35" t="str">
        <x:f>XLOOKUP(C35,Sources!$A:$A,Sources!$K:$K,"À décider")</x:f>
        <x:v>Interne hôpital</x:v>
      </x:c>
      <x:c r="AL35" t="str">
        <x:f>XLOOKUP(C35,Sources!$A:$A,Sources!$L:$L,"Non")</x:f>
        <x:v>Non</x:v>
      </x:c>
      <x:c r="AM35" t="str">
        <x:f>XLOOKUP(C35,Sources!$A:$A,Sources!$M:$M,"Non")</x:f>
        <x:v>Oui</x:v>
      </x:c>
      <x:c r="AN35" t="str">
        <x:f>XLOOKUP(C35,Sources!$A:$A,Sources!$N:$N,"À valider")</x:f>
        <x:v>À valider</x:v>
      </x:c>
    </x:row>
    <x:row r="36" ht="18" customHeight="1">
      <x:c r="A36" s="12" t="str">
        <x:v>STAB0035</x:v>
      </x:c>
      <x:c r="B36" s="12" t="str">
        <x:v>Clindamycine</x:v>
      </x:c>
      <x:c r="C36" s="12" t="str">
        <x:v>SRC003</x:v>
      </x:c>
      <x:c r="D36" s="12" t="str">
        <x:v>CH de Tourcoing 2017 + doc interne récent</x:v>
      </x:c>
      <x:c r="E36" s="12" t="str">
        <x:v>Protocole local</x:v>
      </x:c>
      <x:c r="F36" s="12" t="str">
        <x:v>pse</x:v>
      </x:c>
      <x:c r="G36" s="12" t="str">
        <x:v>PSE seringue PP</x:v>
      </x:c>
      <x:c r="H36" s="12" t="str">
        <x:v>Continu 24 h possible</x:v>
      </x:c>
      <x:c r="I36" s="12" t="str">
        <x:v>Oui</x:v>
      </x:c>
      <x:c r="J36" s="12" t="str">
        <x:v>Non</x:v>
      </x:c>
      <x:c r="K36" s="12" t="str">
        <x:v>NaCl 0,9 %</x:v>
      </x:c>
      <x:c r="L36" s="12"/>
      <x:c r="M36" s="12" t="n">
        <x:v>75</x:v>
      </x:c>
      <x:c r="N36" s="12" t="str">
        <x:v>mg/mL</x:v>
      </x:c>
      <x:c r="O36" s="12"/>
      <x:c r="P36" s="12"/>
      <x:c r="Q36" s="12"/>
      <x:c r="R36" s="12"/>
      <x:c r="S36" s="12" t="str"/>
      <x:c r="T36" s="12" t="n">
        <x:v>24</x:v>
      </x:c>
      <x:c r="U36" s="12"/>
      <x:c r="V36" s="12" t="str"/>
      <x:c r="W36" s="12" t="str"/>
      <x:c r="X36" s="12" t="str"/>
      <x:c r="Y36" s="12" t="str"/>
      <x:c r="Z36" s="12" t="str">
        <x:v>À compléter</x:v>
      </x:c>
      <x:c r="AA36" s="12" t="str">
        <x:v>Continu possible</x:v>
      </x:c>
      <x:c r="AB36" s="12" t="str">
        <x:v>OK</x:v>
      </x:c>
      <x:c r="AC36" s="12" t="str">
        <x:v>À vérifier</x:v>
      </x:c>
      <x:c r="AD36" s="12" t="str"/>
      <x:c r="AE36" s="12" t="str"/>
      <x:c r="AF36" s="12" t="str">
        <x:v>NaCl 0,9 % ; conc max 75 mg/mL ; stab 24 h ; 600 mg à 3,6 g/48 mL</x:v>
      </x:c>
      <x:c r="AG36" s="12" t="str">
        <x:v>Données favorables au PSE/pompe 24 h.</x:v>
      </x:c>
      <x:c r="AH36" s="12" t="str"/>
      <x:c r="AI36" s="12" t="str"/>
      <x:c r="AJ36" t="str">
        <x:f>XLOOKUP(C36,Sources!$A:$A,Sources!$J:$J,"Non")</x:f>
        <x:v>Oui</x:v>
      </x:c>
      <x:c r="AK36" t="str">
        <x:f>XLOOKUP(C36,Sources!$A:$A,Sources!$K:$K,"À décider")</x:f>
        <x:v>Interne hôpital</x:v>
      </x:c>
      <x:c r="AL36" t="str">
        <x:f>XLOOKUP(C36,Sources!$A:$A,Sources!$L:$L,"Non")</x:f>
        <x:v>Non</x:v>
      </x:c>
      <x:c r="AM36" t="str">
        <x:f>XLOOKUP(C36,Sources!$A:$A,Sources!$M:$M,"Non")</x:f>
        <x:v>Oui</x:v>
      </x:c>
      <x:c r="AN36" t="str">
        <x:f>XLOOKUP(C36,Sources!$A:$A,Sources!$N:$N,"À valider")</x:f>
        <x:v>À valider</x:v>
      </x:c>
    </x:row>
    <x:row r="37" ht="18" customHeight="1">
      <x:c r="A37" s="12" t="str">
        <x:v>STAB0036</x:v>
      </x:c>
      <x:c r="B37" s="12" t="str">
        <x:v>Daptomycine</x:v>
      </x:c>
      <x:c r="C37" s="12" t="str">
        <x:v>SRC003</x:v>
      </x:c>
      <x:c r="D37" s="12" t="str">
        <x:v>CH de Tourcoing 2017 + doc interne récent</x:v>
      </x:c>
      <x:c r="E37" s="12" t="str">
        <x:v>Protocole local</x:v>
      </x:c>
      <x:c r="F37" s="12" t="str">
        <x:v>poche</x:v>
      </x:c>
      <x:c r="G37" s="12" t="str">
        <x:v>Poche soluté classique</x:v>
      </x:c>
      <x:c r="H37" s="12" t="str">
        <x:v>Discontinue recommandée ; perfusion 30–60 min ; IVD possible selon source</x:v>
      </x:c>
      <x:c r="I37" s="12" t="str">
        <x:v>Oui</x:v>
      </x:c>
      <x:c r="J37" s="12" t="str">
        <x:v>Oui</x:v>
      </x:c>
      <x:c r="K37" s="12" t="str">
        <x:v>NaCl 0,9 % / G5</x:v>
      </x:c>
      <x:c r="L37" s="12"/>
      <x:c r="M37" s="12" t="n">
        <x:v>50</x:v>
      </x:c>
      <x:c r="N37" s="12" t="str">
        <x:v>mg/mL</x:v>
      </x:c>
      <x:c r="O37" s="12"/>
      <x:c r="P37" s="12"/>
      <x:c r="Q37" s="12"/>
      <x:c r="R37" s="12"/>
      <x:c r="S37" s="12" t="str">
        <x:v>RT</x:v>
      </x:c>
      <x:c r="T37" s="12" t="n">
        <x:v>12</x:v>
      </x:c>
      <x:c r="U37" s="12"/>
      <x:c r="V37" s="12" t="str"/>
      <x:c r="W37" s="12" t="str"/>
      <x:c r="X37" s="12" t="str"/>
      <x:c r="Y37" s="12" t="str"/>
      <x:c r="Z37" s="12" t="str">
        <x:v>À compléter</x:v>
      </x:c>
      <x:c r="AA37" s="12" t="str">
        <x:v>Discontinue</x:v>
      </x:c>
      <x:c r="AB37" s="12" t="str">
        <x:v>Critique</x:v>
      </x:c>
      <x:c r="AC37" s="12" t="str">
        <x:v>À vérifier</x:v>
      </x:c>
      <x:c r="AD37" s="12" t="str"/>
      <x:c r="AE37" s="12" t="str"/>
      <x:c r="AF37" s="12" t="str">
        <x:v>NaCl 0,9 % exclusivement ; conc max 50 mg/mL ; stab 12 h RT ; G5 incompatible</x:v>
      </x:c>
      <x:c r="AG37" s="12" t="str">
        <x:v>NaCl exclusivement.</x:v>
      </x:c>
      <x:c r="AH37" s="12" t="str"/>
      <x:c r="AI37" s="12" t="str"/>
      <x:c r="AJ37" t="str">
        <x:f>XLOOKUP(C37,Sources!$A:$A,Sources!$J:$J,"Non")</x:f>
        <x:v>Oui</x:v>
      </x:c>
      <x:c r="AK37" t="str">
        <x:f>XLOOKUP(C37,Sources!$A:$A,Sources!$K:$K,"À décider")</x:f>
        <x:v>Interne hôpital</x:v>
      </x:c>
      <x:c r="AL37" t="str">
        <x:f>XLOOKUP(C37,Sources!$A:$A,Sources!$L:$L,"Non")</x:f>
        <x:v>Non</x:v>
      </x:c>
      <x:c r="AM37" t="str">
        <x:f>XLOOKUP(C37,Sources!$A:$A,Sources!$M:$M,"Non")</x:f>
        <x:v>Oui</x:v>
      </x:c>
      <x:c r="AN37" t="str">
        <x:f>XLOOKUP(C37,Sources!$A:$A,Sources!$N:$N,"À valider")</x:f>
        <x:v>À valider</x:v>
      </x:c>
    </x:row>
    <x:row r="38" ht="18" customHeight="1">
      <x:c r="A38" s="12" t="str">
        <x:v>STAB0037</x:v>
      </x:c>
      <x:c r="B38" s="12" t="str">
        <x:v>Ertapénem</x:v>
      </x:c>
      <x:c r="C38" s="12" t="str">
        <x:v>SRC003</x:v>
      </x:c>
      <x:c r="D38" s="12" t="str">
        <x:v>CH de Tourcoing 2017 + doc interne récent</x:v>
      </x:c>
      <x:c r="E38" s="12" t="str">
        <x:v>Protocole local</x:v>
      </x:c>
      <x:c r="F38" s="12" t="str">
        <x:v>poche</x:v>
      </x:c>
      <x:c r="G38" s="12" t="str">
        <x:v>Poche soluté classique</x:v>
      </x:c>
      <x:c r="H38" s="12" t="str">
        <x:v>Discontinue recommandée ; perfusion 30 min ; prolongée non standard</x:v>
      </x:c>
      <x:c r="I38" s="12" t="str">
        <x:v>Oui</x:v>
      </x:c>
      <x:c r="J38" s="12" t="str">
        <x:v>Oui</x:v>
      </x:c>
      <x:c r="K38" s="12" t="str">
        <x:v>NaCl 0,9 % / G5</x:v>
      </x:c>
      <x:c r="L38" s="12"/>
      <x:c r="M38" s="12" t="n">
        <x:v>20</x:v>
      </x:c>
      <x:c r="N38" s="12" t="str">
        <x:v>mg/mL</x:v>
      </x:c>
      <x:c r="O38" s="12"/>
      <x:c r="P38" s="12"/>
      <x:c r="Q38" s="12"/>
      <x:c r="R38" s="12"/>
      <x:c r="S38" s="12" t="str">
        <x:v>RT</x:v>
      </x:c>
      <x:c r="T38" s="12" t="n">
        <x:v>6</x:v>
      </x:c>
      <x:c r="U38" s="12"/>
      <x:c r="V38" s="12" t="str"/>
      <x:c r="W38" s="12" t="str"/>
      <x:c r="X38" s="12" t="str"/>
      <x:c r="Y38" s="12" t="str"/>
      <x:c r="Z38" s="12" t="str">
        <x:v>À compléter</x:v>
      </x:c>
      <x:c r="AA38" s="12" t="str">
        <x:v>Discontinue</x:v>
      </x:c>
      <x:c r="AB38" s="12" t="str">
        <x:v>Critique</x:v>
      </x:c>
      <x:c r="AC38" s="12" t="str">
        <x:v>À vérifier</x:v>
      </x:c>
      <x:c r="AD38" s="12" t="str"/>
      <x:c r="AE38" s="12" t="str"/>
      <x:c r="AF38" s="12" t="str">
        <x:v>NaCl 0,9 % exclusivement ; conc max 20 mg/mL ; stab 6 h RT ; G5 incompatible</x:v>
      </x:c>
      <x:c r="AG38" s="12" t="str">
        <x:v>Molécule pratique en OPAT intermittent.</x:v>
      </x:c>
      <x:c r="AH38" s="12" t="str"/>
      <x:c r="AI38" s="12" t="str"/>
      <x:c r="AJ38" t="str">
        <x:f>XLOOKUP(C38,Sources!$A:$A,Sources!$J:$J,"Non")</x:f>
        <x:v>Oui</x:v>
      </x:c>
      <x:c r="AK38" t="str">
        <x:f>XLOOKUP(C38,Sources!$A:$A,Sources!$K:$K,"À décider")</x:f>
        <x:v>Interne hôpital</x:v>
      </x:c>
      <x:c r="AL38" t="str">
        <x:f>XLOOKUP(C38,Sources!$A:$A,Sources!$L:$L,"Non")</x:f>
        <x:v>Non</x:v>
      </x:c>
      <x:c r="AM38" t="str">
        <x:f>XLOOKUP(C38,Sources!$A:$A,Sources!$M:$M,"Non")</x:f>
        <x:v>Oui</x:v>
      </x:c>
      <x:c r="AN38" t="str">
        <x:f>XLOOKUP(C38,Sources!$A:$A,Sources!$N:$N,"À valider")</x:f>
        <x:v>À valider</x:v>
      </x:c>
    </x:row>
    <x:row r="39" ht="18" customHeight="1">
      <x:c r="A39" s="12" t="str">
        <x:v>STAB0038</x:v>
      </x:c>
      <x:c r="B39" s="12" t="str">
        <x:v>Méropénem</x:v>
      </x:c>
      <x:c r="C39" s="12" t="str">
        <x:v>SRC003</x:v>
      </x:c>
      <x:c r="D39" s="12" t="str">
        <x:v>CH de Tourcoing 2017 + doc interne récent</x:v>
      </x:c>
      <x:c r="E39" s="12" t="str">
        <x:v>Protocole local</x:v>
      </x:c>
      <x:c r="F39" s="12" t="str">
        <x:v>poche</x:v>
      </x:c>
      <x:c r="G39" s="12" t="str">
        <x:v>Poche soluté classique</x:v>
      </x:c>
      <x:c r="H39" s="12" t="str">
        <x:v>Fractionnement 6–8 h recommandé</x:v>
      </x:c>
      <x:c r="I39" s="12" t="str">
        <x:v>Non</x:v>
      </x:c>
      <x:c r="J39" s="12" t="str">
        <x:v>Non</x:v>
      </x:c>
      <x:c r="K39" s="12" t="str">
        <x:v>NaCl 0,9 % / G5</x:v>
      </x:c>
      <x:c r="L39" s="12"/>
      <x:c r="M39" s="12" t="n">
        <x:v>40</x:v>
      </x:c>
      <x:c r="N39" s="12" t="str">
        <x:v>mg/mL</x:v>
      </x:c>
      <x:c r="O39" s="12"/>
      <x:c r="P39" s="12"/>
      <x:c r="Q39" s="12"/>
      <x:c r="R39" s="12"/>
      <x:c r="S39" s="12" t="str">
        <x:v>RT</x:v>
      </x:c>
      <x:c r="T39" s="12" t="n">
        <x:v>8</x:v>
      </x:c>
      <x:c r="U39" s="12"/>
      <x:c r="V39" s="12" t="str"/>
      <x:c r="W39" s="12" t="str"/>
      <x:c r="X39" s="12" t="str"/>
      <x:c r="Y39" s="12" t="str"/>
      <x:c r="Z39" s="12" t="str">
        <x:v>À compléter</x:v>
      </x:c>
      <x:c r="AA39" s="12" t="str">
        <x:v>Fractionnement court</x:v>
      </x:c>
      <x:c r="AB39" s="12" t="str">
        <x:v>Vigilance</x:v>
      </x:c>
      <x:c r="AC39" s="12" t="str">
        <x:v>À vérifier</x:v>
      </x:c>
      <x:c r="AD39" s="12" t="str"/>
      <x:c r="AE39" s="12" t="str"/>
      <x:c r="AF39" s="12" t="str">
        <x:v>NaCl 0,9 %/G5 selon source ; conc max 40 mg/mL ; stab 6–8 h RT</x:v>
      </x:c>
      <x:c r="AG39" s="12" t="str">
        <x:v>Stabilité courte à température ambiante.</x:v>
      </x:c>
      <x:c r="AH39" s="12" t="str"/>
      <x:c r="AI39" s="12" t="str"/>
      <x:c r="AJ39" t="str">
        <x:f>XLOOKUP(C39,Sources!$A:$A,Sources!$J:$J,"Non")</x:f>
        <x:v>Oui</x:v>
      </x:c>
      <x:c r="AK39" t="str">
        <x:f>XLOOKUP(C39,Sources!$A:$A,Sources!$K:$K,"À décider")</x:f>
        <x:v>Interne hôpital</x:v>
      </x:c>
      <x:c r="AL39" t="str">
        <x:f>XLOOKUP(C39,Sources!$A:$A,Sources!$L:$L,"Non")</x:f>
        <x:v>Non</x:v>
      </x:c>
      <x:c r="AM39" t="str">
        <x:f>XLOOKUP(C39,Sources!$A:$A,Sources!$M:$M,"Non")</x:f>
        <x:v>Oui</x:v>
      </x:c>
      <x:c r="AN39" t="str">
        <x:f>XLOOKUP(C39,Sources!$A:$A,Sources!$N:$N,"À valider")</x:f>
        <x:v>À valider</x:v>
      </x:c>
    </x:row>
    <x:row r="40" ht="18" customHeight="1">
      <x:c r="A40" s="12" t="str">
        <x:v>STAB0039</x:v>
      </x:c>
      <x:c r="B40" s="12" t="str">
        <x:v>Méropénem</x:v>
      </x:c>
      <x:c r="C40" s="12" t="str">
        <x:v>SRC003</x:v>
      </x:c>
      <x:c r="D40" s="12" t="str">
        <x:v>CH de Tourcoing 2017 + doc interne récent</x:v>
      </x:c>
      <x:c r="E40" s="12" t="str">
        <x:v>Protocole local</x:v>
      </x:c>
      <x:c r="F40" s="12" t="str">
        <x:v>pse</x:v>
      </x:c>
      <x:c r="G40" s="12" t="str">
        <x:v>PSE seringue PP</x:v>
      </x:c>
      <x:c r="H40" s="12" t="str">
        <x:v>Fractionnement 6–8 h recommandé</x:v>
      </x:c>
      <x:c r="I40" s="12" t="str">
        <x:v>Non</x:v>
      </x:c>
      <x:c r="J40" s="12" t="str">
        <x:v>Non</x:v>
      </x:c>
      <x:c r="K40" s="12" t="str">
        <x:v>NaCl 0,9 %</x:v>
      </x:c>
      <x:c r="L40" s="12"/>
      <x:c r="M40" s="12" t="n">
        <x:v>40</x:v>
      </x:c>
      <x:c r="N40" s="12" t="str">
        <x:v>mg/mL</x:v>
      </x:c>
      <x:c r="O40" s="12"/>
      <x:c r="P40" s="12"/>
      <x:c r="Q40" s="12"/>
      <x:c r="R40" s="12"/>
      <x:c r="S40" s="12" t="str"/>
      <x:c r="T40" s="12" t="n">
        <x:v>8</x:v>
      </x:c>
      <x:c r="U40" s="12"/>
      <x:c r="V40" s="12" t="str"/>
      <x:c r="W40" s="12" t="str"/>
      <x:c r="X40" s="12" t="str"/>
      <x:c r="Y40" s="12" t="str"/>
      <x:c r="Z40" s="12" t="str">
        <x:v>À compléter</x:v>
      </x:c>
      <x:c r="AA40" s="12" t="str">
        <x:v>Fractionnement court</x:v>
      </x:c>
      <x:c r="AB40" s="12" t="str">
        <x:v>OK</x:v>
      </x:c>
      <x:c r="AC40" s="12" t="str">
        <x:v>À vérifier</x:v>
      </x:c>
      <x:c r="AD40" s="12" t="str"/>
      <x:c r="AE40" s="12" t="str"/>
      <x:c r="AF40" s="12" t="str">
        <x:v>NaCl 0,9 % ; conc max 40 mg/mL ; stab 6–8 h ; IVSE 8 h x3/j</x:v>
      </x:c>
      <x:c r="AG40" s="12" t="str">
        <x:v>Stabilité courte à température ambiante.</x:v>
      </x:c>
      <x:c r="AH40" s="12" t="str"/>
      <x:c r="AI40" s="12" t="str"/>
      <x:c r="AJ40" t="str">
        <x:f>XLOOKUP(C40,Sources!$A:$A,Sources!$J:$J,"Non")</x:f>
        <x:v>Oui</x:v>
      </x:c>
      <x:c r="AK40" t="str">
        <x:f>XLOOKUP(C40,Sources!$A:$A,Sources!$K:$K,"À décider")</x:f>
        <x:v>Interne hôpital</x:v>
      </x:c>
      <x:c r="AL40" t="str">
        <x:f>XLOOKUP(C40,Sources!$A:$A,Sources!$L:$L,"Non")</x:f>
        <x:v>Non</x:v>
      </x:c>
      <x:c r="AM40" t="str">
        <x:f>XLOOKUP(C40,Sources!$A:$A,Sources!$M:$M,"Non")</x:f>
        <x:v>Oui</x:v>
      </x:c>
      <x:c r="AN40" t="str">
        <x:f>XLOOKUP(C40,Sources!$A:$A,Sources!$N:$N,"À valider")</x:f>
        <x:v>À valider</x:v>
      </x:c>
    </x:row>
    <x:row r="41" ht="18" customHeight="1">
      <x:c r="A41" s="12" t="str">
        <x:v>STAB0040</x:v>
      </x:c>
      <x:c r="B41" s="12" t="str">
        <x:v>Méropénem</x:v>
      </x:c>
      <x:c r="C41" s="12" t="str">
        <x:v>SRC010</x:v>
      </x:c>
      <x:c r="D41" s="12" t="str">
        <x:v>Micrel – données internes du laboratoire</x:v>
      </x:c>
      <x:c r="E41" s="12" t="str">
        <x:v>Protocole local</x:v>
      </x:c>
      <x:c r="F41" s="12" t="str">
        <x:v>micrel</x:v>
      </x:c>
      <x:c r="G41" s="12" t="str">
        <x:v>Pompe Rythmic / Micrel</x:v>
      </x:c>
      <x:c r="H41" s="12" t="str">
        <x:v>Pompe Rythmic PVC</x:v>
      </x:c>
      <x:c r="I41" s="12" t="str">
        <x:v>Oui</x:v>
      </x:c>
      <x:c r="J41" s="12" t="str">
        <x:v>Non</x:v>
      </x:c>
      <x:c r="K41" s="12" t="str">
        <x:v>NaCl 0,9 %</x:v>
      </x:c>
      <x:c r="L41" s="12" t="n">
        <x:v>5</x:v>
      </x:c>
      <x:c r="M41" s="12" t="n">
        <x:v>40</x:v>
      </x:c>
      <x:c r="N41" s="12" t="str">
        <x:v>mg/mL</x:v>
      </x:c>
      <x:c r="O41" s="12"/>
      <x:c r="P41" s="12"/>
      <x:c r="Q41" s="12"/>
      <x:c r="R41" s="12"/>
      <x:c r="S41" s="12" t="str">
        <x:v>RT</x:v>
      </x:c>
      <x:c r="T41" s="12" t="n">
        <x:v>18</x:v>
      </x:c>
      <x:c r="U41" s="12"/>
      <x:c r="V41" s="12" t="str"/>
      <x:c r="W41" s="12" t="str"/>
      <x:c r="X41" s="12" t="str"/>
      <x:c r="Y41" s="12" t="str"/>
      <x:c r="Z41" s="12" t="str">
        <x:v>À compléter</x:v>
      </x:c>
      <x:c r="AA41" s="12" t="str">
        <x:v>Changement fréquent</x:v>
      </x:c>
      <x:c r="AB41" s="12" t="str">
        <x:v>OK</x:v>
      </x:c>
      <x:c r="AC41" s="12" t="str">
        <x:v>À vérifier</x:v>
      </x:c>
      <x:c r="AD41" s="12" t="str"/>
      <x:c r="AE41" s="12" t="str"/>
      <x:c r="AF41" s="12" t="str">
        <x:v>NaCl 0,9 % ; conc 5–40 mg/mL ; stab FT 18 h ; RT 6 h</x:v>
      </x:c>
      <x:c r="AG41" s="12" t="str">
        <x:v>Pas de 24 h à RT.</x:v>
      </x:c>
      <x:c r="AH41" s="12" t="str"/>
      <x:c r="AI41" s="12" t="str"/>
      <x:c r="AJ41" t="str">
        <x:f>XLOOKUP(C41,Sources!$A:$A,Sources!$J:$J,"Non")</x:f>
        <x:v>Non</x:v>
      </x:c>
      <x:c r="AK41" t="str">
        <x:f>XLOOKUP(C41,Sources!$A:$A,Sources!$K:$K,"À décider")</x:f>
        <x:v>À décider</x:v>
      </x:c>
      <x:c r="AL41" t="str">
        <x:f>XLOOKUP(C41,Sources!$A:$A,Sources!$L:$L,"Non")</x:f>
        <x:v>Non</x:v>
      </x:c>
      <x:c r="AM41" t="str">
        <x:f>XLOOKUP(C41,Sources!$A:$A,Sources!$M:$M,"Non")</x:f>
        <x:v>Non</x:v>
      </x:c>
      <x:c r="AN41" t="str">
        <x:f>XLOOKUP(C41,Sources!$A:$A,Sources!$N:$N,"À valider")</x:f>
        <x:v>À valider</x:v>
      </x:c>
    </x:row>
    <x:row r="42" ht="18" customHeight="1">
      <x:c r="A42" s="12" t="str">
        <x:v>STAB0041</x:v>
      </x:c>
      <x:c r="B42" s="12" t="str">
        <x:v>Méropénem</x:v>
      </x:c>
      <x:c r="C42" s="12" t="str">
        <x:v>SRC013</x:v>
      </x:c>
      <x:c r="D42" s="12" t="str">
        <x:v>PubMed – littérature sélectionnée</x:v>
      </x:c>
      <x:c r="E42" s="12" t="str">
        <x:v>Publication</x:v>
      </x:c>
      <x:c r="F42" s="12" t="str">
        <x:v>pse</x:v>
      </x:c>
      <x:c r="G42" s="12" t="str">
        <x:v>PSE seringue PP</x:v>
      </x:c>
      <x:c r="H42" s="12" t="str">
        <x:v>Perfusion continue/prolongée ; OPAT ; diffuseur élastomère</x:v>
      </x:c>
      <x:c r="I42" s="12" t="str">
        <x:v>Oui</x:v>
      </x:c>
      <x:c r="J42" s="12" t="str">
        <x:v>Non</x:v>
      </x:c>
      <x:c r="K42" s="12" t="str"/>
      <x:c r="L42" s="12"/>
      <x:c r="M42" s="12"/>
      <x:c r="N42" s="12" t="str"/>
      <x:c r="O42" s="12"/>
      <x:c r="P42" s="12"/>
      <x:c r="Q42" s="12"/>
      <x:c r="R42" s="12"/>
      <x:c r="S42" s="12" t="str"/>
      <x:c r="T42" s="12" t="n">
        <x:v>8</x:v>
      </x:c>
      <x:c r="U42" s="12"/>
      <x:c r="V42" s="12" t="str"/>
      <x:c r="W42" s="12" t="str"/>
      <x:c r="X42" s="12" t="str"/>
      <x:c r="Y42" s="12" t="str"/>
      <x:c r="Z42" s="12" t="str">
        <x:v>À compléter</x:v>
      </x:c>
      <x:c r="AA42" s="12" t="str">
        <x:v>Éviter extrapolation 24 h sans contrôle thermique</x:v>
      </x:c>
      <x:c r="AB42" s="12" t="str">
        <x:v>Critique</x:v>
      </x:c>
      <x:c r="AC42" s="12" t="str">
        <x:v>À vérifier</x:v>
      </x:c>
      <x:c r="AD42" s="12" t="str"/>
      <x:c r="AE42" s="12" t="str"/>
      <x:c r="AF42" s="12" t="str">
        <x:v>Seringue PP ; fractionnement 6–8 h fréquemment recommandé</x:v>
      </x:c>
      <x:c r="AG42" s="12" t="str">
        <x:v>Ne pas extrapoler élastomère vers poche, ANAPA ou Micrel.</x:v>
      </x:c>
      <x:c r="AH42" s="12" t="str"/>
      <x:c r="AI42" s="12" t="str">
        <x:v>https://pubmed.ncbi.nlm.nih.gov/31447546/</x:v>
      </x:c>
      <x:c r="AJ42" t="str">
        <x:f>XLOOKUP(C42,Sources!$A:$A,Sources!$J:$J,"Non")</x:f>
        <x:v>Non</x:v>
      </x:c>
      <x:c r="AK42" t="str">
        <x:f>XLOOKUP(C42,Sources!$A:$A,Sources!$K:$K,"À décider")</x:f>
        <x:v>À décider</x:v>
      </x:c>
      <x:c r="AL42" t="str">
        <x:f>XLOOKUP(C42,Sources!$A:$A,Sources!$L:$L,"Non")</x:f>
        <x:v>Non</x:v>
      </x:c>
      <x:c r="AM42" t="str">
        <x:f>XLOOKUP(C42,Sources!$A:$A,Sources!$M:$M,"Non")</x:f>
        <x:v>Non</x:v>
      </x:c>
      <x:c r="AN42" t="str">
        <x:f>XLOOKUP(C42,Sources!$A:$A,Sources!$N:$N,"À valider")</x:f>
        <x:v>À valider</x:v>
      </x:c>
    </x:row>
    <x:row r="43" ht="18" customHeight="1">
      <x:c r="A43" s="12" t="str">
        <x:v>STAB0042</x:v>
      </x:c>
      <x:c r="B43" s="12" t="str">
        <x:v>Méropénem</x:v>
      </x:c>
      <x:c r="C43" s="12" t="str">
        <x:v>SRC013</x:v>
      </x:c>
      <x:c r="D43" s="12" t="str">
        <x:v>PubMed – littérature sélectionnée</x:v>
      </x:c>
      <x:c r="E43" s="12" t="str">
        <x:v>Publication</x:v>
      </x:c>
      <x:c r="F43" s="12" t="str">
        <x:v>elastomere</x:v>
      </x:c>
      <x:c r="G43" s="12" t="str">
        <x:v>Diffuseur élastomère</x:v>
      </x:c>
      <x:c r="H43" s="12" t="str">
        <x:v>Perfusion continue/prolongée ; OPAT ; diffuseur élastomère</x:v>
      </x:c>
      <x:c r="I43" s="12" t="str">
        <x:v>Oui</x:v>
      </x:c>
      <x:c r="J43" s="12" t="str">
        <x:v>Non</x:v>
      </x:c>
      <x:c r="K43" s="12" t="str">
        <x:v>NaCl 0,9 %</x:v>
      </x:c>
      <x:c r="L43" s="12" t="n">
        <x:v>6.25</x:v>
      </x:c>
      <x:c r="M43" s="12" t="n">
        <x:v>25</x:v>
      </x:c>
      <x:c r="N43" s="12" t="str">
        <x:v>mg/mL</x:v>
      </x:c>
      <x:c r="O43" s="12"/>
      <x:c r="P43" s="12"/>
      <x:c r="Q43" s="12"/>
      <x:c r="R43" s="12"/>
      <x:c r="S43" s="12" t="str">
        <x:v>RT</x:v>
      </x:c>
      <x:c r="T43" s="12" t="n">
        <x:v>12</x:v>
      </x:c>
      <x:c r="U43" s="12"/>
      <x:c r="V43" s="12" t="str"/>
      <x:c r="W43" s="12" t="str"/>
      <x:c r="X43" s="12" t="str"/>
      <x:c r="Y43" s="12" t="str"/>
      <x:c r="Z43" s="12" t="str">
        <x:v>À compléter</x:v>
      </x:c>
      <x:c r="AA43" s="12" t="str">
        <x:v>Éviter extrapolation 24 h sans contrôle thermique</x:v>
      </x:c>
      <x:c r="AB43" s="12" t="str">
        <x:v>Critique</x:v>
      </x:c>
      <x:c r="AC43" s="12" t="str">
        <x:v>À vérifier</x:v>
      </x:c>
      <x:c r="AD43" s="12" t="str"/>
      <x:c r="AE43" s="12" t="str"/>
      <x:c r="AF43" s="12" t="str">
        <x:v>NaCl 0,9 % ; diffuseur élastomère ; conc 6,25–25 mg/mL ; stabilité souvent &lt;12 h à température ambiante</x:v>
      </x:c>
      <x:c r="AG43" s="12" t="str">
        <x:v>Ne pas extrapoler élastomère vers poche, ANAPA ou Micrel.</x:v>
      </x:c>
      <x:c r="AH43" s="12" t="str"/>
      <x:c r="AI43" s="12" t="str">
        <x:v>https://pubmed.ncbi.nlm.nih.gov/31447546/</x:v>
      </x:c>
      <x:c r="AJ43" t="str">
        <x:f>XLOOKUP(C43,Sources!$A:$A,Sources!$J:$J,"Non")</x:f>
        <x:v>Non</x:v>
      </x:c>
      <x:c r="AK43" t="str">
        <x:f>XLOOKUP(C43,Sources!$A:$A,Sources!$K:$K,"À décider")</x:f>
        <x:v>À décider</x:v>
      </x:c>
      <x:c r="AL43" t="str">
        <x:f>XLOOKUP(C43,Sources!$A:$A,Sources!$L:$L,"Non")</x:f>
        <x:v>Non</x:v>
      </x:c>
      <x:c r="AM43" t="str">
        <x:f>XLOOKUP(C43,Sources!$A:$A,Sources!$M:$M,"Non")</x:f>
        <x:v>Non</x:v>
      </x:c>
      <x:c r="AN43" t="str">
        <x:f>XLOOKUP(C43,Sources!$A:$A,Sources!$N:$N,"À valider")</x:f>
        <x:v>À valider</x:v>
      </x:c>
    </x:row>
    <x:row r="44" ht="18" customHeight="1">
      <x:c r="A44" s="12" t="str">
        <x:v>STAB0043</x:v>
      </x:c>
      <x:c r="B44" s="12" t="str">
        <x:v>Pipéracilline/tazobactam</x:v>
      </x:c>
      <x:c r="C44" s="12" t="str">
        <x:v>SRC016</x:v>
      </x:c>
      <x:c r="D44" s="12" t="str">
        <x:v>SPILF/SFPC 2025 + doc interne récent</x:v>
      </x:c>
      <x:c r="E44" s="12" t="str">
        <x:v>Guideline</x:v>
      </x:c>
      <x:c r="F44" s="12" t="str">
        <x:v>poche</x:v>
      </x:c>
      <x:c r="G44" s="12" t="str">
        <x:v>Poche soluté classique</x:v>
      </x:c>
      <x:c r="H44" s="12" t="str">
        <x:v>Continu 24 h possible ; prolongée possible</x:v>
      </x:c>
      <x:c r="I44" s="12" t="str">
        <x:v>Oui</x:v>
      </x:c>
      <x:c r="J44" s="12" t="str">
        <x:v>Non</x:v>
      </x:c>
      <x:c r="K44" s="12" t="str">
        <x:v>NaCl 0,9 % / G5</x:v>
      </x:c>
      <x:c r="L44" s="12" t="n">
        <x:v>80</x:v>
      </x:c>
      <x:c r="M44" s="12" t="n">
        <x:v>200</x:v>
      </x:c>
      <x:c r="N44" s="12" t="str">
        <x:v>mg/mL</x:v>
      </x:c>
      <x:c r="O44" s="12"/>
      <x:c r="P44" s="12"/>
      <x:c r="Q44" s="12"/>
      <x:c r="R44" s="12"/>
      <x:c r="S44" s="12" t="str">
        <x:v>RT</x:v>
      </x:c>
      <x:c r="T44" s="12" t="n">
        <x:v>24</x:v>
      </x:c>
      <x:c r="U44" s="12"/>
      <x:c r="V44" s="12" t="str"/>
      <x:c r="W44" s="12" t="str"/>
      <x:c r="X44" s="12" t="str"/>
      <x:c r="Y44" s="12" t="str"/>
      <x:c r="Z44" s="12" t="str">
        <x:v>À compléter</x:v>
      </x:c>
      <x:c r="AA44" s="12" t="str">
        <x:v>Continu/prolongé possible</x:v>
      </x:c>
      <x:c r="AB44" s="12" t="str">
        <x:v>Vigilance</x:v>
      </x:c>
      <x:c r="AC44" s="12" t="str">
        <x:v>À vérifier</x:v>
      </x:c>
      <x:c r="AD44" s="12" t="str"/>
      <x:c r="AE44" s="12" t="str"/>
      <x:c r="AF44" s="12" t="str">
        <x:v>NaCl 0,9 %/G5 ; conc max 80–200 mg/mL exprimé pipéracilline selon source ; stab 24 h RT</x:v>
      </x:c>
      <x:c r="AG44" s="12" t="str">
        <x:v>Données favorables selon concentration.</x:v>
      </x:c>
      <x:c r="AH44" s="12" t="str"/>
      <x:c r="AI44" s="12" t="str"/>
      <x:c r="AJ44" t="str">
        <x:f>XLOOKUP(C44,Sources!$A:$A,Sources!$J:$J,"Non")</x:f>
        <x:v>Oui</x:v>
      </x:c>
      <x:c r="AK44" t="str">
        <x:f>XLOOKUP(C44,Sources!$A:$A,Sources!$K:$K,"À décider")</x:f>
        <x:v>Interne hôpital</x:v>
      </x:c>
      <x:c r="AL44" t="str">
        <x:f>XLOOKUP(C44,Sources!$A:$A,Sources!$L:$L,"Non")</x:f>
        <x:v>Non</x:v>
      </x:c>
      <x:c r="AM44" t="str">
        <x:f>XLOOKUP(C44,Sources!$A:$A,Sources!$M:$M,"Non")</x:f>
        <x:v>Oui</x:v>
      </x:c>
      <x:c r="AN44" t="str">
        <x:f>XLOOKUP(C44,Sources!$A:$A,Sources!$N:$N,"À valider")</x:f>
        <x:v>À valider</x:v>
      </x:c>
    </x:row>
    <x:row r="45" ht="18" customHeight="1">
      <x:c r="A45" s="12" t="str">
        <x:v>STAB0044</x:v>
      </x:c>
      <x:c r="B45" s="12" t="str">
        <x:v>Pipéracilline/tazobactam</x:v>
      </x:c>
      <x:c r="C45" s="12" t="str">
        <x:v>SRC016</x:v>
      </x:c>
      <x:c r="D45" s="12" t="str">
        <x:v>SPILF/SFPC 2025 + doc interne récent</x:v>
      </x:c>
      <x:c r="E45" s="12" t="str">
        <x:v>Guideline</x:v>
      </x:c>
      <x:c r="F45" s="12" t="str">
        <x:v>pse</x:v>
      </x:c>
      <x:c r="G45" s="12" t="str">
        <x:v>PSE seringue PP</x:v>
      </x:c>
      <x:c r="H45" s="12" t="str">
        <x:v>Continu 24 h possible ; prolongée possible</x:v>
      </x:c>
      <x:c r="I45" s="12" t="str">
        <x:v>Oui</x:v>
      </x:c>
      <x:c r="J45" s="12" t="str">
        <x:v>Non</x:v>
      </x:c>
      <x:c r="K45" s="12" t="str">
        <x:v>NaCl 0,9 % / G5</x:v>
      </x:c>
      <x:c r="L45" s="12" t="n">
        <x:v>80</x:v>
      </x:c>
      <x:c r="M45" s="12" t="n">
        <x:v>200</x:v>
      </x:c>
      <x:c r="N45" s="12" t="str">
        <x:v>mg/mL</x:v>
      </x:c>
      <x:c r="O45" s="12"/>
      <x:c r="P45" s="12"/>
      <x:c r="Q45" s="12"/>
      <x:c r="R45" s="12"/>
      <x:c r="S45" s="12" t="str"/>
      <x:c r="T45" s="12" t="n">
        <x:v>24</x:v>
      </x:c>
      <x:c r="U45" s="12"/>
      <x:c r="V45" s="12" t="str"/>
      <x:c r="W45" s="12" t="str"/>
      <x:c r="X45" s="12" t="str"/>
      <x:c r="Y45" s="12" t="str"/>
      <x:c r="Z45" s="12" t="str">
        <x:v>À compléter</x:v>
      </x:c>
      <x:c r="AA45" s="12" t="str">
        <x:v>Continu/prolongé possible</x:v>
      </x:c>
      <x:c r="AB45" s="12" t="str">
        <x:v>Vigilance</x:v>
      </x:c>
      <x:c r="AC45" s="12" t="str">
        <x:v>À vérifier</x:v>
      </x:c>
      <x:c r="AD45" s="12" t="str"/>
      <x:c r="AE45" s="12" t="str"/>
      <x:c r="AF45" s="12" t="str">
        <x:v>NaCl 0,9 %/G5 ; conc max 80–200 mg/mL ; stab 12–24 h selon schéma</x:v>
      </x:c>
      <x:c r="AG45" s="12" t="str">
        <x:v>Données favorables selon concentration.</x:v>
      </x:c>
      <x:c r="AH45" s="12" t="str"/>
      <x:c r="AI45" s="12" t="str"/>
      <x:c r="AJ45" t="str">
        <x:f>XLOOKUP(C45,Sources!$A:$A,Sources!$J:$J,"Non")</x:f>
        <x:v>Oui</x:v>
      </x:c>
      <x:c r="AK45" t="str">
        <x:f>XLOOKUP(C45,Sources!$A:$A,Sources!$K:$K,"À décider")</x:f>
        <x:v>Interne hôpital</x:v>
      </x:c>
      <x:c r="AL45" t="str">
        <x:f>XLOOKUP(C45,Sources!$A:$A,Sources!$L:$L,"Non")</x:f>
        <x:v>Non</x:v>
      </x:c>
      <x:c r="AM45" t="str">
        <x:f>XLOOKUP(C45,Sources!$A:$A,Sources!$M:$M,"Non")</x:f>
        <x:v>Oui</x:v>
      </x:c>
      <x:c r="AN45" t="str">
        <x:f>XLOOKUP(C45,Sources!$A:$A,Sources!$N:$N,"À valider")</x:f>
        <x:v>À valider</x:v>
      </x:c>
    </x:row>
    <x:row r="46" ht="18" customHeight="1">
      <x:c r="A46" s="12" t="str">
        <x:v>STAB0045</x:v>
      </x:c>
      <x:c r="B46" s="12" t="str">
        <x:v>Pipéracilline/tazobactam</x:v>
      </x:c>
      <x:c r="C46" s="12" t="str">
        <x:v>SRC010</x:v>
      </x:c>
      <x:c r="D46" s="12" t="str">
        <x:v>Micrel – données internes du laboratoire</x:v>
      </x:c>
      <x:c r="E46" s="12" t="str">
        <x:v>Protocole local</x:v>
      </x:c>
      <x:c r="F46" s="12" t="str">
        <x:v>micrel</x:v>
      </x:c>
      <x:c r="G46" s="12" t="str">
        <x:v>Pompe Rythmic / Micrel</x:v>
      </x:c>
      <x:c r="H46" s="12" t="str">
        <x:v>Pompe Rythmic PVC</x:v>
      </x:c>
      <x:c r="I46" s="12" t="str">
        <x:v>Oui</x:v>
      </x:c>
      <x:c r="J46" s="12" t="str">
        <x:v>Non</x:v>
      </x:c>
      <x:c r="K46" s="12" t="str">
        <x:v>NaCl 0,9 %</x:v>
      </x:c>
      <x:c r="L46" s="12" t="n">
        <x:v>10</x:v>
      </x:c>
      <x:c r="M46" s="12" t="n">
        <x:v>80</x:v>
      </x:c>
      <x:c r="N46" s="12" t="str">
        <x:v>mg/mL</x:v>
      </x:c>
      <x:c r="O46" s="12"/>
      <x:c r="P46" s="12"/>
      <x:c r="Q46" s="12"/>
      <x:c r="R46" s="12"/>
      <x:c r="S46" s="12" t="str">
        <x:v>RT</x:v>
      </x:c>
      <x:c r="T46" s="12" t="n">
        <x:v>168</x:v>
      </x:c>
      <x:c r="U46" s="12"/>
      <x:c r="V46" s="12" t="str"/>
      <x:c r="W46" s="12" t="str"/>
      <x:c r="X46" s="12" t="str"/>
      <x:c r="Y46" s="12" t="str"/>
      <x:c r="Z46" s="12" t="str">
        <x:v>À compléter</x:v>
      </x:c>
      <x:c r="AA46" s="12" t="str">
        <x:v>Micrel possible selon conditions</x:v>
      </x:c>
      <x:c r="AB46" s="12" t="str">
        <x:v>Vigilance</x:v>
      </x:c>
      <x:c r="AC46" s="12" t="str">
        <x:v>À vérifier</x:v>
      </x:c>
      <x:c r="AD46" s="12" t="str"/>
      <x:c r="AE46" s="12" t="str"/>
      <x:c r="AF46" s="12" t="str">
        <x:v>NaCl 0,9 % ; conc pipéracilline 10–80 mg/mL + tazobactam 1,25–10 mg/mL ; stab FT 7 j ; RT 24 h</x:v>
      </x:c>
      <x:c r="AG46" s="12" t="str">
        <x:v>Donnée spécifique contenant.</x:v>
      </x:c>
      <x:c r="AH46" s="12" t="str"/>
      <x:c r="AI46" s="12" t="str"/>
      <x:c r="AJ46" t="str">
        <x:f>XLOOKUP(C46,Sources!$A:$A,Sources!$J:$J,"Non")</x:f>
        <x:v>Non</x:v>
      </x:c>
      <x:c r="AK46" t="str">
        <x:f>XLOOKUP(C46,Sources!$A:$A,Sources!$K:$K,"À décider")</x:f>
        <x:v>À décider</x:v>
      </x:c>
      <x:c r="AL46" t="str">
        <x:f>XLOOKUP(C46,Sources!$A:$A,Sources!$L:$L,"Non")</x:f>
        <x:v>Non</x:v>
      </x:c>
      <x:c r="AM46" t="str">
        <x:f>XLOOKUP(C46,Sources!$A:$A,Sources!$M:$M,"Non")</x:f>
        <x:v>Non</x:v>
      </x:c>
      <x:c r="AN46" t="str">
        <x:f>XLOOKUP(C46,Sources!$A:$A,Sources!$N:$N,"À valider")</x:f>
        <x:v>À valider</x:v>
      </x:c>
    </x:row>
    <x:row r="47" ht="18" customHeight="1">
      <x:c r="A47" s="12" t="str">
        <x:v>STAB0046</x:v>
      </x:c>
      <x:c r="B47" s="12" t="str">
        <x:v>Pipéracilline/tazobactam</x:v>
      </x:c>
      <x:c r="C47" s="12" t="str">
        <x:v>SRC013</x:v>
      </x:c>
      <x:c r="D47" s="12" t="str">
        <x:v>PubMed – littérature sélectionnée</x:v>
      </x:c>
      <x:c r="E47" s="12" t="str">
        <x:v>Publication</x:v>
      </x:c>
      <x:c r="F47" s="12" t="str">
        <x:v>pse</x:v>
      </x:c>
      <x:c r="G47" s="12" t="str">
        <x:v>PSE seringue PP</x:v>
      </x:c>
      <x:c r="H47" s="12" t="str">
        <x:v>Perfusion continue ambulatoire ; diffuseur élastomère</x:v>
      </x:c>
      <x:c r="I47" s="12" t="str">
        <x:v>Oui</x:v>
      </x:c>
      <x:c r="J47" s="12" t="str">
        <x:v>Non</x:v>
      </x:c>
      <x:c r="K47" s="12" t="str"/>
      <x:c r="L47" s="12"/>
      <x:c r="M47" s="12"/>
      <x:c r="N47" s="12" t="str"/>
      <x:c r="O47" s="12"/>
      <x:c r="P47" s="12"/>
      <x:c r="Q47" s="12"/>
      <x:c r="R47" s="12"/>
      <x:c r="S47" s="12" t="str"/>
      <x:c r="T47" s="12" t="n">
        <x:v>24</x:v>
      </x:c>
      <x:c r="U47" s="12"/>
      <x:c r="V47" s="12" t="str"/>
      <x:c r="W47" s="12" t="str"/>
      <x:c r="X47" s="12" t="str"/>
      <x:c r="Y47" s="12" t="str"/>
      <x:c r="Z47" s="12" t="str">
        <x:v>À compléter</x:v>
      </x:c>
      <x:c r="AA47" s="12" t="str">
        <x:v>Bon candidat perfusion continue</x:v>
      </x:c>
      <x:c r="AB47" s="12" t="str">
        <x:v>Vigilance</x:v>
      </x:c>
      <x:c r="AC47" s="12" t="str">
        <x:v>À vérifier</x:v>
      </x:c>
      <x:c r="AD47" s="12" t="str"/>
      <x:c r="AE47" s="12" t="str"/>
      <x:c r="AF47" s="12" t="str">
        <x:v>Seringue PP ; données compatibles 24 h selon concentration</x:v>
      </x:c>
      <x:c r="AG47" s="12" t="str">
        <x:v>Donnée élastomère séparée d’ANAPA et des poches classiques.</x:v>
      </x:c>
      <x:c r="AH47" s="12" t="str"/>
      <x:c r="AI47" s="12" t="str">
        <x:v>https://ejhp.bmj.com/content/29/4/212</x:v>
      </x:c>
      <x:c r="AJ47" t="str">
        <x:f>XLOOKUP(C47,Sources!$A:$A,Sources!$J:$J,"Non")</x:f>
        <x:v>Non</x:v>
      </x:c>
      <x:c r="AK47" t="str">
        <x:f>XLOOKUP(C47,Sources!$A:$A,Sources!$K:$K,"À décider")</x:f>
        <x:v>À décider</x:v>
      </x:c>
      <x:c r="AL47" t="str">
        <x:f>XLOOKUP(C47,Sources!$A:$A,Sources!$L:$L,"Non")</x:f>
        <x:v>Non</x:v>
      </x:c>
      <x:c r="AM47" t="str">
        <x:f>XLOOKUP(C47,Sources!$A:$A,Sources!$M:$M,"Non")</x:f>
        <x:v>Non</x:v>
      </x:c>
      <x:c r="AN47" t="str">
        <x:f>XLOOKUP(C47,Sources!$A:$A,Sources!$N:$N,"À valider")</x:f>
        <x:v>À valider</x:v>
      </x:c>
    </x:row>
    <x:row r="48" ht="18" customHeight="1">
      <x:c r="A48" s="12" t="str">
        <x:v>STAB0047</x:v>
      </x:c>
      <x:c r="B48" s="12" t="str">
        <x:v>Pipéracilline/tazobactam</x:v>
      </x:c>
      <x:c r="C48" s="12" t="str">
        <x:v>SRC013</x:v>
      </x:c>
      <x:c r="D48" s="12" t="str">
        <x:v>PubMed – littérature sélectionnée</x:v>
      </x:c>
      <x:c r="E48" s="12" t="str">
        <x:v>Publication</x:v>
      </x:c>
      <x:c r="F48" s="12" t="str">
        <x:v>elastomere</x:v>
      </x:c>
      <x:c r="G48" s="12" t="str">
        <x:v>Diffuseur élastomère</x:v>
      </x:c>
      <x:c r="H48" s="12" t="str">
        <x:v>Perfusion continue ambulatoire ; diffuseur élastomère</x:v>
      </x:c>
      <x:c r="I48" s="12" t="str">
        <x:v>Oui</x:v>
      </x:c>
      <x:c r="J48" s="12" t="str">
        <x:v>Non</x:v>
      </x:c>
      <x:c r="K48" s="12" t="str">
        <x:v>NaCl 0,9 %</x:v>
      </x:c>
      <x:c r="L48" s="12"/>
      <x:c r="M48" s="12"/>
      <x:c r="N48" s="12" t="str"/>
      <x:c r="O48" s="12"/>
      <x:c r="P48" s="12"/>
      <x:c r="Q48" s="12"/>
      <x:c r="R48" s="12"/>
      <x:c r="S48" s="12" t="str"/>
      <x:c r="T48" s="12" t="n">
        <x:v>24</x:v>
      </x:c>
      <x:c r="U48" s="12"/>
      <x:c r="V48" s="12" t="str"/>
      <x:c r="W48" s="12" t="str"/>
      <x:c r="X48" s="12" t="str"/>
      <x:c r="Y48" s="12" t="str"/>
      <x:c r="Z48" s="12" t="str">
        <x:v>À compléter</x:v>
      </x:c>
      <x:c r="AA48" s="12" t="str">
        <x:v>Bon candidat perfusion continue</x:v>
      </x:c>
      <x:c r="AB48" s="12" t="str">
        <x:v>Vigilance</x:v>
      </x:c>
      <x:c r="AC48" s="12" t="str">
        <x:v>À vérifier</x:v>
      </x:c>
      <x:c r="AD48" s="12" t="str"/>
      <x:c r="AE48" s="12" t="str"/>
      <x:c r="AF48" s="12" t="str">
        <x:v>NaCl 0,9 % ; diffuseur élastomère ; nombreuses études compatibles 24 h selon concentration/température</x:v>
      </x:c>
      <x:c r="AG48" s="12" t="str">
        <x:v>Donnée élastomère séparée d’ANAPA et des poches classiques.</x:v>
      </x:c>
      <x:c r="AH48" s="12" t="str"/>
      <x:c r="AI48" s="12" t="str">
        <x:v>https://ejhp.bmj.com/content/29/4/212</x:v>
      </x:c>
      <x:c r="AJ48" t="str">
        <x:f>XLOOKUP(C48,Sources!$A:$A,Sources!$J:$J,"Non")</x:f>
        <x:v>Non</x:v>
      </x:c>
      <x:c r="AK48" t="str">
        <x:f>XLOOKUP(C48,Sources!$A:$A,Sources!$K:$K,"À décider")</x:f>
        <x:v>À décider</x:v>
      </x:c>
      <x:c r="AL48" t="str">
        <x:f>XLOOKUP(C48,Sources!$A:$A,Sources!$L:$L,"Non")</x:f>
        <x:v>Non</x:v>
      </x:c>
      <x:c r="AM48" t="str">
        <x:f>XLOOKUP(C48,Sources!$A:$A,Sources!$M:$M,"Non")</x:f>
        <x:v>Non</x:v>
      </x:c>
      <x:c r="AN48" t="str">
        <x:f>XLOOKUP(C48,Sources!$A:$A,Sources!$N:$N,"À valider")</x:f>
        <x:v>À valider</x:v>
      </x:c>
    </x:row>
    <x:row r="49" ht="18" customHeight="1">
      <x:c r="A49" s="12" t="str">
        <x:v>STAB0048</x:v>
      </x:c>
      <x:c r="B49" s="12" t="str">
        <x:v>Vancomycine</x:v>
      </x:c>
      <x:c r="C49" s="12" t="str">
        <x:v>SRC016</x:v>
      </x:c>
      <x:c r="D49" s="12" t="str">
        <x:v>SPILF/SFPC 2025 + doc interne récent</x:v>
      </x:c>
      <x:c r="E49" s="12" t="str">
        <x:v>Guideline</x:v>
      </x:c>
      <x:c r="F49" s="12" t="str">
        <x:v>poche</x:v>
      </x:c>
      <x:c r="G49" s="12" t="str">
        <x:v>Poche soluté classique</x:v>
      </x:c>
      <x:c r="H49" s="12" t="str">
        <x:v>Continu 24 h possible</x:v>
      </x:c>
      <x:c r="I49" s="12" t="str">
        <x:v>Oui</x:v>
      </x:c>
      <x:c r="J49" s="12" t="str">
        <x:v>Non</x:v>
      </x:c>
      <x:c r="K49" s="12" t="str">
        <x:v>NaCl 0,9 % / G5</x:v>
      </x:c>
      <x:c r="L49" s="12" t="n">
        <x:v>25</x:v>
      </x:c>
      <x:c r="M49" s="12" t="n">
        <x:v>37.5</x:v>
      </x:c>
      <x:c r="N49" s="12" t="str">
        <x:v>mg/mL</x:v>
      </x:c>
      <x:c r="O49" s="12"/>
      <x:c r="P49" s="12"/>
      <x:c r="Q49" s="12"/>
      <x:c r="R49" s="12"/>
      <x:c r="S49" s="12" t="str"/>
      <x:c r="T49" s="12" t="n">
        <x:v>24</x:v>
      </x:c>
      <x:c r="U49" s="12"/>
      <x:c r="V49" s="12" t="str"/>
      <x:c r="W49" s="12" t="str"/>
      <x:c r="X49" s="12" t="str">
        <x:v>Oui</x:v>
      </x:c>
      <x:c r="Y49" s="12" t="str">
        <x:v>Oui</x:v>
      </x:c>
      <x:c r="Z49" s="12" t="str">
        <x:v>À compléter</x:v>
      </x:c>
      <x:c r="AA49" s="12" t="str">
        <x:v>Continu possible</x:v>
      </x:c>
      <x:c r="AB49" s="12" t="str">
        <x:v>OK</x:v>
      </x:c>
      <x:c r="AC49" s="12" t="str">
        <x:v>À vérifier</x:v>
      </x:c>
      <x:c r="AD49" s="12" t="str"/>
      <x:c r="AE49" s="12" t="str"/>
      <x:c r="AF49" s="12" t="str">
        <x:v>NaCl 0,9 % ou G5 ; conc 25–37,5 mg/mL SPILF ; stab 24 h / doc interne : NaCl 0,9 % ; conc 80 mg/mL VVC ou 5 mg/mL VVP ; stab 24 h</x:v>
      </x:c>
      <x:c r="AG49" s="12" t="str">
        <x:v>Adapter concentration à la voie veineuse.</x:v>
      </x:c>
      <x:c r="AH49" s="12" t="str"/>
      <x:c r="AI49" s="12" t="str"/>
      <x:c r="AJ49" t="str">
        <x:f>XLOOKUP(C49,Sources!$A:$A,Sources!$J:$J,"Non")</x:f>
        <x:v>Oui</x:v>
      </x:c>
      <x:c r="AK49" t="str">
        <x:f>XLOOKUP(C49,Sources!$A:$A,Sources!$K:$K,"À décider")</x:f>
        <x:v>Interne hôpital</x:v>
      </x:c>
      <x:c r="AL49" t="str">
        <x:f>XLOOKUP(C49,Sources!$A:$A,Sources!$L:$L,"Non")</x:f>
        <x:v>Non</x:v>
      </x:c>
      <x:c r="AM49" t="str">
        <x:f>XLOOKUP(C49,Sources!$A:$A,Sources!$M:$M,"Non")</x:f>
        <x:v>Oui</x:v>
      </x:c>
      <x:c r="AN49" t="str">
        <x:f>XLOOKUP(C49,Sources!$A:$A,Sources!$N:$N,"À valider")</x:f>
        <x:v>À valider</x:v>
      </x:c>
    </x:row>
    <x:row r="50" ht="18" customHeight="1">
      <x:c r="A50" s="12" t="str">
        <x:v>STAB0049</x:v>
      </x:c>
      <x:c r="B50" s="12" t="str">
        <x:v>Vancomycine</x:v>
      </x:c>
      <x:c r="C50" s="12" t="str">
        <x:v>SRC016</x:v>
      </x:c>
      <x:c r="D50" s="12" t="str">
        <x:v>SPILF/SFPC 2025 + doc interne récent</x:v>
      </x:c>
      <x:c r="E50" s="12" t="str">
        <x:v>Guideline</x:v>
      </x:c>
      <x:c r="F50" s="12" t="str">
        <x:v>pse</x:v>
      </x:c>
      <x:c r="G50" s="12" t="str">
        <x:v>PSE seringue PP</x:v>
      </x:c>
      <x:c r="H50" s="12" t="str">
        <x:v>Continu 24 h possible</x:v>
      </x:c>
      <x:c r="I50" s="12" t="str">
        <x:v>Oui</x:v>
      </x:c>
      <x:c r="J50" s="12" t="str">
        <x:v>Non</x:v>
      </x:c>
      <x:c r="K50" s="12" t="str">
        <x:v>NaCl 0,9 %</x:v>
      </x:c>
      <x:c r="L50" s="12"/>
      <x:c r="M50" s="12" t="n">
        <x:v>80</x:v>
      </x:c>
      <x:c r="N50" s="12" t="str">
        <x:v>mg/mL</x:v>
      </x:c>
      <x:c r="O50" s="12"/>
      <x:c r="P50" s="12"/>
      <x:c r="Q50" s="12"/>
      <x:c r="R50" s="12"/>
      <x:c r="S50" s="12" t="str"/>
      <x:c r="T50" s="12" t="n">
        <x:v>24</x:v>
      </x:c>
      <x:c r="U50" s="12"/>
      <x:c r="V50" s="12" t="str"/>
      <x:c r="W50" s="12" t="str"/>
      <x:c r="X50" s="12" t="str">
        <x:v>Oui</x:v>
      </x:c>
      <x:c r="Y50" s="12" t="str">
        <x:v>Oui</x:v>
      </x:c>
      <x:c r="Z50" s="12" t="str">
        <x:v>À compléter</x:v>
      </x:c>
      <x:c r="AA50" s="12" t="str">
        <x:v>Continu possible</x:v>
      </x:c>
      <x:c r="AB50" s="12" t="str">
        <x:v>Vigilance</x:v>
      </x:c>
      <x:c r="AC50" s="12" t="str">
        <x:v>À vérifier</x:v>
      </x:c>
      <x:c r="AD50" s="12" t="str"/>
      <x:c r="AE50" s="12" t="str"/>
      <x:c r="AF50" s="12" t="str">
        <x:v>NaCl 0,9 % ; conc max 80 mg/mL VVC ou 5 mg/mL VVP ; stab 24 h selon doc interne</x:v>
      </x:c>
      <x:c r="AG50" s="12" t="str">
        <x:v>Adapter concentration à la voie veineuse.</x:v>
      </x:c>
      <x:c r="AH50" s="12" t="str"/>
      <x:c r="AI50" s="12" t="str"/>
      <x:c r="AJ50" t="str">
        <x:f>XLOOKUP(C50,Sources!$A:$A,Sources!$J:$J,"Non")</x:f>
        <x:v>Oui</x:v>
      </x:c>
      <x:c r="AK50" t="str">
        <x:f>XLOOKUP(C50,Sources!$A:$A,Sources!$K:$K,"À décider")</x:f>
        <x:v>Interne hôpital</x:v>
      </x:c>
      <x:c r="AL50" t="str">
        <x:f>XLOOKUP(C50,Sources!$A:$A,Sources!$L:$L,"Non")</x:f>
        <x:v>Non</x:v>
      </x:c>
      <x:c r="AM50" t="str">
        <x:f>XLOOKUP(C50,Sources!$A:$A,Sources!$M:$M,"Non")</x:f>
        <x:v>Oui</x:v>
      </x:c>
      <x:c r="AN50" t="str">
        <x:f>XLOOKUP(C50,Sources!$A:$A,Sources!$N:$N,"À valider")</x:f>
        <x:v>À valider</x:v>
      </x:c>
    </x:row>
    <x:row r="51" ht="18" customHeight="1">
      <x:c r="A51" s="12" t="str">
        <x:v>STAB0050</x:v>
      </x:c>
      <x:c r="B51" s="12" t="str">
        <x:v>Vancomycine</x:v>
      </x:c>
      <x:c r="C51" s="12" t="str">
        <x:v>SRC013</x:v>
      </x:c>
      <x:c r="D51" s="12" t="str">
        <x:v>PubMed – littérature sélectionnée</x:v>
      </x:c>
      <x:c r="E51" s="12" t="str">
        <x:v>Publication</x:v>
      </x:c>
      <x:c r="F51" s="12" t="str">
        <x:v>pse</x:v>
      </x:c>
      <x:c r="G51" s="12" t="str">
        <x:v>PSE seringue PP</x:v>
      </x:c>
      <x:c r="H51" s="12" t="str">
        <x:v>Perfusion continue ; diffuseur élastomère et seringue PP</x:v>
      </x:c>
      <x:c r="I51" s="12" t="str">
        <x:v>Oui</x:v>
      </x:c>
      <x:c r="J51" s="12" t="str">
        <x:v>Non</x:v>
      </x:c>
      <x:c r="K51" s="12" t="str"/>
      <x:c r="L51" s="12"/>
      <x:c r="M51" s="12"/>
      <x:c r="N51" s="12" t="str"/>
      <x:c r="O51" s="12"/>
      <x:c r="P51" s="12"/>
      <x:c r="Q51" s="12"/>
      <x:c r="R51" s="12"/>
      <x:c r="S51" s="12" t="str"/>
      <x:c r="T51" s="12" t="n">
        <x:v>24</x:v>
      </x:c>
      <x:c r="U51" s="12"/>
      <x:c r="V51" s="12" t="str"/>
      <x:c r="W51" s="12" t="str"/>
      <x:c r="X51" s="12" t="str"/>
      <x:c r="Y51" s="12" t="str"/>
      <x:c r="Z51" s="12" t="str">
        <x:v>À compléter</x:v>
      </x:c>
      <x:c r="AA51" s="12" t="str">
        <x:v>Très bon candidat à la perfusion continue</x:v>
      </x:c>
      <x:c r="AB51" s="12" t="str">
        <x:v>OK</x:v>
      </x:c>
      <x:c r="AC51" s="12" t="str">
        <x:v>À vérifier</x:v>
      </x:c>
      <x:c r="AD51" s="12" t="str"/>
      <x:c r="AE51" s="12" t="str"/>
      <x:c r="AF51" s="12" t="str">
        <x:v>Seringue PP ; stabilité 24 h rapportée dans plusieurs études</x:v>
      </x:c>
      <x:c r="AG51" s="12" t="str">
        <x:v>Élastomère séparé d’ANAPA.</x:v>
      </x:c>
      <x:c r="AH51" s="12" t="str"/>
      <x:c r="AI51" s="12" t="str">
        <x:v>https://pmc.ncbi.nlm.nih.gov/articles/PMC2901781/</x:v>
      </x:c>
      <x:c r="AJ51" t="str">
        <x:f>XLOOKUP(C51,Sources!$A:$A,Sources!$J:$J,"Non")</x:f>
        <x:v>Non</x:v>
      </x:c>
      <x:c r="AK51" t="str">
        <x:f>XLOOKUP(C51,Sources!$A:$A,Sources!$K:$K,"À décider")</x:f>
        <x:v>À décider</x:v>
      </x:c>
      <x:c r="AL51" t="str">
        <x:f>XLOOKUP(C51,Sources!$A:$A,Sources!$L:$L,"Non")</x:f>
        <x:v>Non</x:v>
      </x:c>
      <x:c r="AM51" t="str">
        <x:f>XLOOKUP(C51,Sources!$A:$A,Sources!$M:$M,"Non")</x:f>
        <x:v>Non</x:v>
      </x:c>
      <x:c r="AN51" t="str">
        <x:f>XLOOKUP(C51,Sources!$A:$A,Sources!$N:$N,"À valider")</x:f>
        <x:v>À valider</x:v>
      </x:c>
    </x:row>
    <x:row r="52" ht="18" customHeight="1">
      <x:c r="A52" s="12" t="str">
        <x:v>STAB0051</x:v>
      </x:c>
      <x:c r="B52" s="12" t="str">
        <x:v>Vancomycine</x:v>
      </x:c>
      <x:c r="C52" s="12" t="str">
        <x:v>SRC013</x:v>
      </x:c>
      <x:c r="D52" s="12" t="str">
        <x:v>PubMed – littérature sélectionnée</x:v>
      </x:c>
      <x:c r="E52" s="12" t="str">
        <x:v>Publication</x:v>
      </x:c>
      <x:c r="F52" s="12" t="str">
        <x:v>elastomere</x:v>
      </x:c>
      <x:c r="G52" s="12" t="str">
        <x:v>Diffuseur élastomère</x:v>
      </x:c>
      <x:c r="H52" s="12" t="str">
        <x:v>Perfusion continue ; diffuseur élastomère et seringue PP</x:v>
      </x:c>
      <x:c r="I52" s="12" t="str">
        <x:v>Oui</x:v>
      </x:c>
      <x:c r="J52" s="12" t="str">
        <x:v>Non</x:v>
      </x:c>
      <x:c r="K52" s="12" t="str">
        <x:v>NaCl 0,9 % / G5</x:v>
      </x:c>
      <x:c r="L52" s="12"/>
      <x:c r="M52" s="12"/>
      <x:c r="N52" s="12" t="str"/>
      <x:c r="O52" s="12"/>
      <x:c r="P52" s="12"/>
      <x:c r="Q52" s="12"/>
      <x:c r="R52" s="12"/>
      <x:c r="S52" s="12" t="str"/>
      <x:c r="T52" s="12" t="n">
        <x:v>24</x:v>
      </x:c>
      <x:c r="U52" s="12"/>
      <x:c r="V52" s="12" t="str"/>
      <x:c r="W52" s="12" t="str"/>
      <x:c r="X52" s="12" t="str"/>
      <x:c r="Y52" s="12" t="str"/>
      <x:c r="Z52" s="12" t="str">
        <x:v>À compléter</x:v>
      </x:c>
      <x:c r="AA52" s="12" t="str">
        <x:v>Très bon candidat à la perfusion continue</x:v>
      </x:c>
      <x:c r="AB52" s="12" t="str">
        <x:v>Vigilance</x:v>
      </x:c>
      <x:c r="AC52" s="12" t="str">
        <x:v>À vérifier</x:v>
      </x:c>
      <x:c r="AD52" s="12" t="str"/>
      <x:c r="AE52" s="12" t="str"/>
      <x:c r="AF52" s="12" t="str">
        <x:v>NaCl 0,9 % ou G5 ; diffuseur élastomère ; données compatibles 24 h selon concentration</x:v>
      </x:c>
      <x:c r="AG52" s="12" t="str">
        <x:v>Élastomère séparé d’ANAPA.</x:v>
      </x:c>
      <x:c r="AH52" s="12" t="str"/>
      <x:c r="AI52" s="12" t="str">
        <x:v>https://pmc.ncbi.nlm.nih.gov/articles/PMC2901781/</x:v>
      </x:c>
      <x:c r="AJ52" t="str">
        <x:f>XLOOKUP(C52,Sources!$A:$A,Sources!$J:$J,"Non")</x:f>
        <x:v>Non</x:v>
      </x:c>
      <x:c r="AK52" t="str">
        <x:f>XLOOKUP(C52,Sources!$A:$A,Sources!$K:$K,"À décider")</x:f>
        <x:v>À décider</x:v>
      </x:c>
      <x:c r="AL52" t="str">
        <x:f>XLOOKUP(C52,Sources!$A:$A,Sources!$L:$L,"Non")</x:f>
        <x:v>Non</x:v>
      </x:c>
      <x:c r="AM52" t="str">
        <x:f>XLOOKUP(C52,Sources!$A:$A,Sources!$M:$M,"Non")</x:f>
        <x:v>Non</x:v>
      </x:c>
      <x:c r="AN52" t="str">
        <x:f>XLOOKUP(C52,Sources!$A:$A,Sources!$N:$N,"À valider")</x:f>
        <x:v>À valider</x:v>
      </x:c>
    </x:row>
    <x:row r="53" ht="18" customHeight="1">
      <x:c r="A53" s="12" t="str">
        <x:v>STAB0052</x:v>
      </x:c>
      <x:c r="B53" s="12" t="str">
        <x:v>Linezolide</x:v>
      </x:c>
      <x:c r="C53" s="12" t="str">
        <x:v>SRC004</x:v>
      </x:c>
      <x:c r="D53" s="12" t="str">
        <x:v>CH de Tourcoing 2017 + doc interne récent + Centre Léon Bérard – HAD</x:v>
      </x:c>
      <x:c r="E53" s="12" t="str">
        <x:v>Protocole local</x:v>
      </x:c>
      <x:c r="F53" s="12" t="str">
        <x:v>poche</x:v>
      </x:c>
      <x:c r="G53" s="12" t="str">
        <x:v>Poche soluté classique</x:v>
      </x:c>
      <x:c r="H53" s="12" t="str">
        <x:v>Discontinue recommandée ; prêt à l’emploi ; perfusion 30–120 min</x:v>
      </x:c>
      <x:c r="I53" s="12" t="str">
        <x:v>Oui</x:v>
      </x:c>
      <x:c r="J53" s="12" t="str">
        <x:v>Oui</x:v>
      </x:c>
      <x:c r="K53" s="12" t="str">
        <x:v>NaCl 0,9 % / G5</x:v>
      </x:c>
      <x:c r="L53" s="12" t="n">
        <x:v>2</x:v>
      </x:c>
      <x:c r="M53" s="12" t="n">
        <x:v>2</x:v>
      </x:c>
      <x:c r="N53" s="12" t="str">
        <x:v>mg/mL</x:v>
      </x:c>
      <x:c r="O53" s="12"/>
      <x:c r="P53" s="12"/>
      <x:c r="Q53" s="12"/>
      <x:c r="R53" s="12"/>
      <x:c r="S53" s="12" t="str">
        <x:v>RT</x:v>
      </x:c>
      <x:c r="T53" s="12" t="n">
        <x:v>504</x:v>
      </x:c>
      <x:c r="U53" s="12"/>
      <x:c r="V53" s="12" t="str"/>
      <x:c r="W53" s="12" t="str"/>
      <x:c r="X53" s="12" t="str"/>
      <x:c r="Y53" s="12" t="str"/>
      <x:c r="Z53" s="12" t="str">
        <x:v>À compléter</x:v>
      </x:c>
      <x:c r="AA53" s="12" t="str">
        <x:v>Discontinue</x:v>
      </x:c>
      <x:c r="AB53" s="12" t="str">
        <x:v>Vigilance</x:v>
      </x:c>
      <x:c r="AC53" s="12" t="str">
        <x:v>À vérifier</x:v>
      </x:c>
      <x:c r="AD53" s="12" t="str"/>
      <x:c r="AE53" s="12" t="str"/>
      <x:c r="AF53" s="12" t="str">
        <x:v>Poche prête à l’emploi ; soluté de présentation ; conc commerciale 2 mg/mL ; stab 21 j RT ; NaCl/G5 compatibles selon source</x:v>
      </x:c>
      <x:c r="AG53" s="12" t="str">
        <x:v>Donnée à vérifier selon présentation locale.</x:v>
      </x:c>
      <x:c r="AH53" s="12" t="str"/>
      <x:c r="AI53" s="12" t="str"/>
      <x:c r="AJ53" t="str">
        <x:f>XLOOKUP(C53,Sources!$A:$A,Sources!$J:$J,"Non")</x:f>
        <x:v>Oui</x:v>
      </x:c>
      <x:c r="AK53" t="str">
        <x:f>XLOOKUP(C53,Sources!$A:$A,Sources!$K:$K,"À décider")</x:f>
        <x:v>Interne hôpital</x:v>
      </x:c>
      <x:c r="AL53" t="str">
        <x:f>XLOOKUP(C53,Sources!$A:$A,Sources!$L:$L,"Non")</x:f>
        <x:v>Non</x:v>
      </x:c>
      <x:c r="AM53" t="str">
        <x:f>XLOOKUP(C53,Sources!$A:$A,Sources!$M:$M,"Non")</x:f>
        <x:v>Oui</x:v>
      </x:c>
      <x:c r="AN53" t="str">
        <x:f>XLOOKUP(C53,Sources!$A:$A,Sources!$N:$N,"À valider")</x:f>
        <x:v>À valider</x:v>
      </x:c>
    </x:row>
    <x:row r="54" ht="18" customHeight="1">
      <x:c r="A54" s="12" t="str">
        <x:v>STAB0053</x:v>
      </x:c>
      <x:c r="B54" s="12" t="str">
        <x:v>Cotrimoxazole IV / Bactrim®</x:v>
      </x:c>
      <x:c r="C54" s="12" t="str">
        <x:v>SRC012</x:v>
      </x:c>
      <x:c r="D54" s="12" t="str">
        <x:v>Protocole Pharmacie Interjurassienne + doc interne récent</x:v>
      </x:c>
      <x:c r="E54" s="12" t="str">
        <x:v>Protocole local</x:v>
      </x:c>
      <x:c r="F54" s="12" t="str">
        <x:v>poche</x:v>
      </x:c>
      <x:c r="G54" s="12" t="str">
        <x:v>Poche soluté classique</x:v>
      </x:c>
      <x:c r="H54" s="12" t="str">
        <x:v>Discontinue recommandée ; perfusion 60 min ; durée max 90 min ; pas d’administration pure</x:v>
      </x:c>
      <x:c r="I54" s="12" t="str">
        <x:v>Oui</x:v>
      </x:c>
      <x:c r="J54" s="12" t="str">
        <x:v>Oui</x:v>
      </x:c>
      <x:c r="K54" s="12" t="str">
        <x:v>NaCl 0,9 % / G5</x:v>
      </x:c>
      <x:c r="L54" s="12"/>
      <x:c r="M54" s="12"/>
      <x:c r="N54" s="12" t="str"/>
      <x:c r="O54" s="12"/>
      <x:c r="P54" s="12"/>
      <x:c r="Q54" s="12"/>
      <x:c r="R54" s="12"/>
      <x:c r="S54" s="12" t="str">
        <x:v>RT</x:v>
      </x:c>
      <x:c r="T54" s="12" t="n">
        <x:v>6</x:v>
      </x:c>
      <x:c r="U54" s="12"/>
      <x:c r="V54" s="12" t="str">
        <x:v>Oui</x:v>
      </x:c>
      <x:c r="W54" s="12" t="str">
        <x:v>Oui</x:v>
      </x:c>
      <x:c r="X54" s="12" t="str">
        <x:v>Oui</x:v>
      </x:c>
      <x:c r="Y54" s="12" t="str"/>
      <x:c r="Z54" s="12" t="str">
        <x:v>À compléter</x:v>
      </x:c>
      <x:c r="AA54" s="12" t="str">
        <x:v>Discontinue ; attention restriction hydrique</x:v>
      </x:c>
      <x:c r="AB54" s="12" t="str">
        <x:v>Vigilance</x:v>
      </x:c>
      <x:c r="AC54" s="12" t="str">
        <x:v>À vérifier</x:v>
      </x:c>
      <x:c r="AD54" s="12" t="str"/>
      <x:c r="AE54" s="12" t="str"/>
      <x:c r="AF54" s="12" t="str">
        <x:v>NaCl 0,9 % ou G5 ; dilution standard : 1 amp + 125 mL, 2 amp + 250 mL, 3 amp + 500 mL ; stab solution diluée 6 h RT à l’abri lumière ; sol. mère 1 h RT / restriction hydrique : 1 amp + 75 mL, 2 amp + 150 mL, 3 amp + 250 mL ; stab 2 h RT à l’abri lumière</x:v>
      </x:c>
      <x:c r="AG54" s="12" t="str">
        <x:v>voie centrale préférable si disponible car très phlébogène ; jeter si trouble/cristaux.</x:v>
      </x:c>
      <x:c r="AH54" s="12" t="str"/>
      <x:c r="AI54" s="12" t="str"/>
      <x:c r="AJ54" t="str">
        <x:f>XLOOKUP(C54,Sources!$A:$A,Sources!$J:$J,"Non")</x:f>
        <x:v>Oui</x:v>
      </x:c>
      <x:c r="AK54" t="str">
        <x:f>XLOOKUP(C54,Sources!$A:$A,Sources!$K:$K,"À décider")</x:f>
        <x:v>Interne hôpital</x:v>
      </x:c>
      <x:c r="AL54" t="str">
        <x:f>XLOOKUP(C54,Sources!$A:$A,Sources!$L:$L,"Non")</x:f>
        <x:v>Non</x:v>
      </x:c>
      <x:c r="AM54" t="str">
        <x:f>XLOOKUP(C54,Sources!$A:$A,Sources!$M:$M,"Non")</x:f>
        <x:v>Oui</x:v>
      </x:c>
      <x:c r="AN54" t="str">
        <x:f>XLOOKUP(C54,Sources!$A:$A,Sources!$N:$N,"À valider")</x:f>
        <x:v>À valider</x:v>
      </x:c>
    </x:row>
    <x:row r="55" ht="18" customHeight="1">
      <x:c r="A55" s="12" t="str">
        <x:v>STAB0054</x:v>
      </x:c>
      <x:c r="B55" s="12" t="str">
        <x:v>Gentamicine</x:v>
      </x:c>
      <x:c r="C55" s="12" t="str">
        <x:v>SRC007</x:v>
      </x:c>
      <x:c r="D55" s="12" t="str">
        <x:v>Doc interne récent</x:v>
      </x:c>
      <x:c r="E55" s="12" t="str">
        <x:v>Protocole local</x:v>
      </x:c>
      <x:c r="F55" s="12" t="str">
        <x:v>poche</x:v>
      </x:c>
      <x:c r="G55" s="12" t="str">
        <x:v>Poche soluté classique</x:v>
      </x:c>
      <x:c r="H55" s="12" t="str">
        <x:v>Discontinue recommandée ; aminoside ; IVSE sur 30 min</x:v>
      </x:c>
      <x:c r="I55" s="12" t="str">
        <x:v>Oui</x:v>
      </x:c>
      <x:c r="J55" s="12" t="str">
        <x:v>Oui</x:v>
      </x:c>
      <x:c r="K55" s="12" t="str">
        <x:v>NaCl 0,9 % / G5</x:v>
      </x:c>
      <x:c r="L55" s="12"/>
      <x:c r="M55" s="12" t="n">
        <x:v>10</x:v>
      </x:c>
      <x:c r="N55" s="12" t="str">
        <x:v>mg/mL</x:v>
      </x:c>
      <x:c r="O55" s="12"/>
      <x:c r="P55" s="12"/>
      <x:c r="Q55" s="12"/>
      <x:c r="R55" s="12"/>
      <x:c r="S55" s="12" t="str">
        <x:v>RT</x:v>
      </x:c>
      <x:c r="T55" s="12" t="n">
        <x:v>24</x:v>
      </x:c>
      <x:c r="U55" s="12"/>
      <x:c r="V55" s="12" t="str"/>
      <x:c r="W55" s="12" t="str"/>
      <x:c r="X55" s="12" t="str"/>
      <x:c r="Y55" s="12" t="str"/>
      <x:c r="Z55" s="12" t="str">
        <x:v>À compléter</x:v>
      </x:c>
      <x:c r="AA55" s="12" t="str">
        <x:v>Discontinue</x:v>
      </x:c>
      <x:c r="AB55" s="12" t="str">
        <x:v>Vigilance</x:v>
      </x:c>
      <x:c r="AC55" s="12" t="str">
        <x:v>À vérifier</x:v>
      </x:c>
      <x:c r="AD55" s="12" t="str"/>
      <x:c r="AE55" s="12" t="str"/>
      <x:c r="AF55" s="12" t="str">
        <x:v>NaCl 0,9 % ou G5 ; conc max 10 mg/mL ; stab 24 h RT</x:v>
      </x:c>
      <x:c r="AG55" s="12" t="str">
        <x:v>Suivi pic/résiduel selon protocole aminosides.</x:v>
      </x:c>
      <x:c r="AH55" s="12" t="str"/>
      <x:c r="AI55" s="12" t="str"/>
      <x:c r="AJ55" t="str">
        <x:f>XLOOKUP(C55,Sources!$A:$A,Sources!$J:$J,"Non")</x:f>
        <x:v>Oui</x:v>
      </x:c>
      <x:c r="AK55" t="str">
        <x:f>XLOOKUP(C55,Sources!$A:$A,Sources!$K:$K,"À décider")</x:f>
        <x:v>Interne hôpital</x:v>
      </x:c>
      <x:c r="AL55" t="str">
        <x:f>XLOOKUP(C55,Sources!$A:$A,Sources!$L:$L,"Non")</x:f>
        <x:v>Non</x:v>
      </x:c>
      <x:c r="AM55" t="str">
        <x:f>XLOOKUP(C55,Sources!$A:$A,Sources!$M:$M,"Non")</x:f>
        <x:v>Oui</x:v>
      </x:c>
      <x:c r="AN55" t="str">
        <x:f>XLOOKUP(C55,Sources!$A:$A,Sources!$N:$N,"À valider")</x:f>
        <x:v>À valider</x:v>
      </x:c>
    </x:row>
    <x:row r="56" ht="18" customHeight="1">
      <x:c r="A56" s="12" t="str">
        <x:v>STAB0055</x:v>
      </x:c>
      <x:c r="B56" s="12" t="str">
        <x:v>Gentamicine</x:v>
      </x:c>
      <x:c r="C56" s="12" t="str">
        <x:v>SRC007</x:v>
      </x:c>
      <x:c r="D56" s="12" t="str">
        <x:v>Doc interne récent</x:v>
      </x:c>
      <x:c r="E56" s="12" t="str">
        <x:v>Protocole local</x:v>
      </x:c>
      <x:c r="F56" s="12" t="str">
        <x:v>pse</x:v>
      </x:c>
      <x:c r="G56" s="12" t="str">
        <x:v>PSE seringue PP</x:v>
      </x:c>
      <x:c r="H56" s="12" t="str">
        <x:v>Discontinue recommandée ; aminoside ; IVSE sur 30 min</x:v>
      </x:c>
      <x:c r="I56" s="12" t="str">
        <x:v>Oui</x:v>
      </x:c>
      <x:c r="J56" s="12" t="str">
        <x:v>Oui</x:v>
      </x:c>
      <x:c r="K56" s="12" t="str">
        <x:v>NaCl 0,9 % / G5</x:v>
      </x:c>
      <x:c r="L56" s="12"/>
      <x:c r="M56" s="12" t="n">
        <x:v>10</x:v>
      </x:c>
      <x:c r="N56" s="12" t="str">
        <x:v>mg/mL</x:v>
      </x:c>
      <x:c r="O56" s="12"/>
      <x:c r="P56" s="12"/>
      <x:c r="Q56" s="12"/>
      <x:c r="R56" s="12"/>
      <x:c r="S56" s="12" t="str">
        <x:v>RT</x:v>
      </x:c>
      <x:c r="T56" s="12" t="n">
        <x:v>24</x:v>
      </x:c>
      <x:c r="U56" s="12"/>
      <x:c r="V56" s="12" t="str"/>
      <x:c r="W56" s="12" t="str"/>
      <x:c r="X56" s="12" t="str"/>
      <x:c r="Y56" s="12" t="str"/>
      <x:c r="Z56" s="12" t="str">
        <x:v>À compléter</x:v>
      </x:c>
      <x:c r="AA56" s="12" t="str">
        <x:v>Discontinue</x:v>
      </x:c>
      <x:c r="AB56" s="12" t="str">
        <x:v>Vigilance</x:v>
      </x:c>
      <x:c r="AC56" s="12" t="str">
        <x:v>À vérifier</x:v>
      </x:c>
      <x:c r="AD56" s="12" t="str"/>
      <x:c r="AE56" s="12" t="str"/>
      <x:c r="AF56" s="12" t="str">
        <x:v>NaCl 0,9 % ou G5 ; conc max 10 mg/mL ; stab 24 h RT ; IVSE intermittent 30 min</x:v>
      </x:c>
      <x:c r="AG56" s="12" t="str">
        <x:v>Suivi pic/résiduel selon protocole aminosides.</x:v>
      </x:c>
      <x:c r="AH56" s="12" t="str"/>
      <x:c r="AI56" s="12" t="str"/>
      <x:c r="AJ56" t="str">
        <x:f>XLOOKUP(C56,Sources!$A:$A,Sources!$J:$J,"Non")</x:f>
        <x:v>Oui</x:v>
      </x:c>
      <x:c r="AK56" t="str">
        <x:f>XLOOKUP(C56,Sources!$A:$A,Sources!$K:$K,"À décider")</x:f>
        <x:v>Interne hôpital</x:v>
      </x:c>
      <x:c r="AL56" t="str">
        <x:f>XLOOKUP(C56,Sources!$A:$A,Sources!$L:$L,"Non")</x:f>
        <x:v>Non</x:v>
      </x:c>
      <x:c r="AM56" t="str">
        <x:f>XLOOKUP(C56,Sources!$A:$A,Sources!$M:$M,"Non")</x:f>
        <x:v>Oui</x:v>
      </x:c>
      <x:c r="AN56" t="str">
        <x:f>XLOOKUP(C56,Sources!$A:$A,Sources!$N:$N,"À valider")</x:f>
        <x:v>À valider</x:v>
      </x:c>
    </x:row>
    <x:row r="57" ht="18" customHeight="1">
      <x:c r="A57" s="12" t="str">
        <x:v>STAB0056</x:v>
      </x:c>
      <x:c r="B57" s="12" t="str">
        <x:v>Levofloxacine</x:v>
      </x:c>
      <x:c r="C57" s="12" t="str">
        <x:v>SRC003</x:v>
      </x:c>
      <x:c r="D57" s="12" t="str">
        <x:v>CH de Tourcoing 2017 + doc interne récent</x:v>
      </x:c>
      <x:c r="E57" s="12" t="str">
        <x:v>Protocole local</x:v>
      </x:c>
      <x:c r="F57" s="12" t="str">
        <x:v>poche</x:v>
      </x:c>
      <x:c r="G57" s="12" t="str">
        <x:v>Poche soluté classique</x:v>
      </x:c>
      <x:c r="H57" s="12" t="str">
        <x:v>Discontinue recommandée ; prêt à l’emploi ; perfusion 60 min</x:v>
      </x:c>
      <x:c r="I57" s="12" t="str">
        <x:v>Oui</x:v>
      </x:c>
      <x:c r="J57" s="12" t="str">
        <x:v>Oui</x:v>
      </x:c>
      <x:c r="K57" s="12" t="str"/>
      <x:c r="L57" s="12"/>
      <x:c r="M57" s="12"/>
      <x:c r="N57" s="12" t="str"/>
      <x:c r="O57" s="12"/>
      <x:c r="P57" s="12"/>
      <x:c r="Q57" s="12"/>
      <x:c r="R57" s="12"/>
      <x:c r="S57" s="12" t="str"/>
      <x:c r="T57" s="12"/>
      <x:c r="U57" s="12"/>
      <x:c r="V57" s="12" t="str"/>
      <x:c r="W57" s="12" t="str"/>
      <x:c r="X57" s="12" t="str"/>
      <x:c r="Y57" s="12" t="str"/>
      <x:c r="Z57" s="12" t="str">
        <x:v>À compléter</x:v>
      </x:c>
      <x:c r="AA57" s="12" t="str">
        <x:v>Discontinue</x:v>
      </x:c>
      <x:c r="AB57" s="12" t="str">
        <x:v>OK</x:v>
      </x:c>
      <x:c r="AC57" s="12" t="str">
        <x:v>À vérifier</x:v>
      </x:c>
      <x:c r="AD57" s="12" t="str"/>
      <x:c r="AE57" s="12" t="str"/>
      <x:c r="AF57" s="12" t="str">
        <x:v>Prêt à l’emploi ; soluté de présentation ; conc commerciale ; stab non détaillée dans source récente / Tourcoing : prêt à l’emploi</x:v>
      </x:c>
      <x:c r="AG57" s="12" t="str">
        <x:v>Donnée de stabilité détaillée limitée dans les sources intégrées.</x:v>
      </x:c>
      <x:c r="AH57" s="12" t="str"/>
      <x:c r="AI57" s="12" t="str"/>
      <x:c r="AJ57" t="str">
        <x:f>XLOOKUP(C57,Sources!$A:$A,Sources!$J:$J,"Non")</x:f>
        <x:v>Oui</x:v>
      </x:c>
      <x:c r="AK57" t="str">
        <x:f>XLOOKUP(C57,Sources!$A:$A,Sources!$K:$K,"À décider")</x:f>
        <x:v>Interne hôpital</x:v>
      </x:c>
      <x:c r="AL57" t="str">
        <x:f>XLOOKUP(C57,Sources!$A:$A,Sources!$L:$L,"Non")</x:f>
        <x:v>Non</x:v>
      </x:c>
      <x:c r="AM57" t="str">
        <x:f>XLOOKUP(C57,Sources!$A:$A,Sources!$M:$M,"Non")</x:f>
        <x:v>Oui</x:v>
      </x:c>
      <x:c r="AN57" t="str">
        <x:f>XLOOKUP(C57,Sources!$A:$A,Sources!$N:$N,"À valider")</x:f>
        <x:v>À valider</x:v>
      </x:c>
    </x:row>
    <x:row r="58" ht="18" customHeight="1">
      <x:c r="A58" s="12" t="str">
        <x:v>STAB0057</x:v>
      </x:c>
      <x:c r="B58" s="12" t="str">
        <x:v>Métronidazole</x:v>
      </x:c>
      <x:c r="C58" s="12" t="str">
        <x:v>SRC003</x:v>
      </x:c>
      <x:c r="D58" s="12" t="str">
        <x:v>CH de Tourcoing 2017 + doc interne récent</x:v>
      </x:c>
      <x:c r="E58" s="12" t="str">
        <x:v>Protocole local</x:v>
      </x:c>
      <x:c r="F58" s="12" t="str">
        <x:v>poche</x:v>
      </x:c>
      <x:c r="G58" s="12" t="str">
        <x:v>Poche soluté classique</x:v>
      </x:c>
      <x:c r="H58" s="12" t="str">
        <x:v>Discontinue recommandée ; prêt à l’emploi ; perfusion 30–60 min</x:v>
      </x:c>
      <x:c r="I58" s="12" t="str">
        <x:v>Oui</x:v>
      </x:c>
      <x:c r="J58" s="12" t="str">
        <x:v>Oui</x:v>
      </x:c>
      <x:c r="K58" s="12" t="str"/>
      <x:c r="L58" s="12"/>
      <x:c r="M58" s="12"/>
      <x:c r="N58" s="12" t="str"/>
      <x:c r="O58" s="12"/>
      <x:c r="P58" s="12"/>
      <x:c r="Q58" s="12"/>
      <x:c r="R58" s="12"/>
      <x:c r="S58" s="12" t="str"/>
      <x:c r="T58" s="12"/>
      <x:c r="U58" s="12"/>
      <x:c r="V58" s="12" t="str"/>
      <x:c r="W58" s="12" t="str"/>
      <x:c r="X58" s="12" t="str"/>
      <x:c r="Y58" s="12" t="str"/>
      <x:c r="Z58" s="12" t="str">
        <x:v>À compléter</x:v>
      </x:c>
      <x:c r="AA58" s="12" t="str">
        <x:v>Discontinue</x:v>
      </x:c>
      <x:c r="AB58" s="12" t="str">
        <x:v>Critique</x:v>
      </x:c>
      <x:c r="AC58" s="12" t="str">
        <x:v>À vérifier</x:v>
      </x:c>
      <x:c r="AD58" s="12" t="str"/>
      <x:c r="AE58" s="12" t="str"/>
      <x:c r="AF58" s="12" t="str">
        <x:v>Prêt à l’emploi ; 500 mg/100 mL ; soluté de présentation ; stab non détaillée dans source récente / Tourcoing : prêt à l’emploi</x:v>
      </x:c>
      <x:c r="AG58" s="12" t="str">
        <x:v>Ne pas inventer de stabilité si la source indique seulement prêt à l’emploi.</x:v>
      </x:c>
      <x:c r="AH58" s="12" t="str"/>
      <x:c r="AI58" s="12" t="str"/>
      <x:c r="AJ58" t="str">
        <x:f>XLOOKUP(C58,Sources!$A:$A,Sources!$J:$J,"Non")</x:f>
        <x:v>Oui</x:v>
      </x:c>
      <x:c r="AK58" t="str">
        <x:f>XLOOKUP(C58,Sources!$A:$A,Sources!$K:$K,"À décider")</x:f>
        <x:v>Interne hôpital</x:v>
      </x:c>
      <x:c r="AL58" t="str">
        <x:f>XLOOKUP(C58,Sources!$A:$A,Sources!$L:$L,"Non")</x:f>
        <x:v>Non</x:v>
      </x:c>
      <x:c r="AM58" t="str">
        <x:f>XLOOKUP(C58,Sources!$A:$A,Sources!$M:$M,"Non")</x:f>
        <x:v>Oui</x:v>
      </x:c>
      <x:c r="AN58" t="str">
        <x:f>XLOOKUP(C58,Sources!$A:$A,Sources!$N:$N,"À valider")</x:f>
        <x:v>À valider</x:v>
      </x:c>
    </x:row>
    <x:row r="59" ht="18" customHeight="1">
      <x:c r="A59" s="12" t="str">
        <x:v>STAB0058</x:v>
      </x:c>
      <x:c r="B59" s="12" t="str">
        <x:v>Ofloxacine</x:v>
      </x:c>
      <x:c r="C59" s="12" t="str">
        <x:v>SRC003</x:v>
      </x:c>
      <x:c r="D59" s="12" t="str">
        <x:v>CH de Tourcoing 2017 + doc interne récent</x:v>
      </x:c>
      <x:c r="E59" s="12" t="str">
        <x:v>Protocole local</x:v>
      </x:c>
      <x:c r="F59" s="12" t="str">
        <x:v>poche</x:v>
      </x:c>
      <x:c r="G59" s="12" t="str">
        <x:v>Poche soluté classique</x:v>
      </x:c>
      <x:c r="H59" s="12" t="str">
        <x:v>Discontinue recommandée ; prêt à l’emploi ; perfusion 30 min</x:v>
      </x:c>
      <x:c r="I59" s="12" t="str">
        <x:v>Oui</x:v>
      </x:c>
      <x:c r="J59" s="12" t="str">
        <x:v>Oui</x:v>
      </x:c>
      <x:c r="K59" s="12" t="str"/>
      <x:c r="L59" s="12"/>
      <x:c r="M59" s="12"/>
      <x:c r="N59" s="12" t="str"/>
      <x:c r="O59" s="12"/>
      <x:c r="P59" s="12"/>
      <x:c r="Q59" s="12"/>
      <x:c r="R59" s="12"/>
      <x:c r="S59" s="12" t="str"/>
      <x:c r="T59" s="12"/>
      <x:c r="U59" s="12"/>
      <x:c r="V59" s="12" t="str"/>
      <x:c r="W59" s="12" t="str"/>
      <x:c r="X59" s="12" t="str"/>
      <x:c r="Y59" s="12" t="str"/>
      <x:c r="Z59" s="12" t="str">
        <x:v>À compléter</x:v>
      </x:c>
      <x:c r="AA59" s="12" t="str">
        <x:v>Discontinue</x:v>
      </x:c>
      <x:c r="AB59" s="12" t="str">
        <x:v>OK</x:v>
      </x:c>
      <x:c r="AC59" s="12" t="str">
        <x:v>À vérifier</x:v>
      </x:c>
      <x:c r="AD59" s="12" t="str"/>
      <x:c r="AE59" s="12" t="str"/>
      <x:c r="AF59" s="12" t="str">
        <x:v>Prêt à l’emploi ; 200 mg/40 mL ; soluté de présentation ; stab non détaillée</x:v>
      </x:c>
      <x:c r="AG59" s="12" t="str">
        <x:v>Donnée limitée à la modalité d’administration dans les sources.</x:v>
      </x:c>
      <x:c r="AH59" s="12" t="str"/>
      <x:c r="AI59" s="12" t="str"/>
      <x:c r="AJ59" t="str">
        <x:f>XLOOKUP(C59,Sources!$A:$A,Sources!$J:$J,"Non")</x:f>
        <x:v>Oui</x:v>
      </x:c>
      <x:c r="AK59" t="str">
        <x:f>XLOOKUP(C59,Sources!$A:$A,Sources!$K:$K,"À décider")</x:f>
        <x:v>Interne hôpital</x:v>
      </x:c>
      <x:c r="AL59" t="str">
        <x:f>XLOOKUP(C59,Sources!$A:$A,Sources!$L:$L,"Non")</x:f>
        <x:v>Non</x:v>
      </x:c>
      <x:c r="AM59" t="str">
        <x:f>XLOOKUP(C59,Sources!$A:$A,Sources!$M:$M,"Non")</x:f>
        <x:v>Oui</x:v>
      </x:c>
      <x:c r="AN59" t="str">
        <x:f>XLOOKUP(C59,Sources!$A:$A,Sources!$N:$N,"À valider")</x:f>
        <x:v>À valider</x:v>
      </x:c>
    </x:row>
    <x:row r="60" ht="18" customHeight="1">
      <x:c r="A60" s="12" t="str">
        <x:v>STAB0059</x:v>
      </x:c>
      <x:c r="B60" s="12" t="str">
        <x:v>Colistine</x:v>
      </x:c>
      <x:c r="C60" s="12" t="str">
        <x:v>SRC007</x:v>
      </x:c>
      <x:c r="D60" s="12" t="str">
        <x:v>Doc interne récent</x:v>
      </x:c>
      <x:c r="E60" s="12" t="str">
        <x:v>Protocole local</x:v>
      </x:c>
      <x:c r="F60" s="12" t="str">
        <x:v>poche</x:v>
      </x:c>
      <x:c r="G60" s="12" t="str">
        <x:v>Poche soluté classique</x:v>
      </x:c>
      <x:c r="H60" s="12" t="str">
        <x:v>Continu 24 h possible</x:v>
      </x:c>
      <x:c r="I60" s="12" t="str">
        <x:v>Oui</x:v>
      </x:c>
      <x:c r="J60" s="12" t="str">
        <x:v>Non</x:v>
      </x:c>
      <x:c r="K60" s="12" t="str">
        <x:v>NaCl 0,9 %</x:v>
      </x:c>
      <x:c r="L60" s="12"/>
      <x:c r="M60" s="12" t="n">
        <x:v>0.02</x:v>
      </x:c>
      <x:c r="N60" s="12" t="str">
        <x:v>MUI/mL</x:v>
      </x:c>
      <x:c r="O60" s="12"/>
      <x:c r="P60" s="12"/>
      <x:c r="Q60" s="12"/>
      <x:c r="R60" s="12"/>
      <x:c r="S60" s="12" t="str">
        <x:v>RT</x:v>
      </x:c>
      <x:c r="T60" s="12" t="n">
        <x:v>24</x:v>
      </x:c>
      <x:c r="U60" s="12"/>
      <x:c r="V60" s="12" t="str"/>
      <x:c r="W60" s="12" t="str"/>
      <x:c r="X60" s="12" t="str"/>
      <x:c r="Y60" s="12" t="str"/>
      <x:c r="Z60" s="12" t="str">
        <x:v>À compléter</x:v>
      </x:c>
      <x:c r="AA60" s="12" t="str">
        <x:v>Continu possible</x:v>
      </x:c>
      <x:c r="AB60" s="12" t="str">
        <x:v>Vigilance</x:v>
      </x:c>
      <x:c r="AC60" s="12" t="str">
        <x:v>À vérifier</x:v>
      </x:c>
      <x:c r="AD60" s="12" t="str"/>
      <x:c r="AE60" s="12" t="str"/>
      <x:c r="AF60" s="12" t="str">
        <x:v>NaCl 0,9 % ; conc max 0,02 MUI/mL ; stab 24 h RT</x:v>
      </x:c>
      <x:c r="AG60" s="12" t="str">
        <x:v>Préparation très diluée selon document interne.</x:v>
      </x:c>
      <x:c r="AH60" s="12" t="str"/>
      <x:c r="AI60" s="12" t="str"/>
      <x:c r="AJ60" t="str">
        <x:f>XLOOKUP(C60,Sources!$A:$A,Sources!$J:$J,"Non")</x:f>
        <x:v>Oui</x:v>
      </x:c>
      <x:c r="AK60" t="str">
        <x:f>XLOOKUP(C60,Sources!$A:$A,Sources!$K:$K,"À décider")</x:f>
        <x:v>Interne hôpital</x:v>
      </x:c>
      <x:c r="AL60" t="str">
        <x:f>XLOOKUP(C60,Sources!$A:$A,Sources!$L:$L,"Non")</x:f>
        <x:v>Non</x:v>
      </x:c>
      <x:c r="AM60" t="str">
        <x:f>XLOOKUP(C60,Sources!$A:$A,Sources!$M:$M,"Non")</x:f>
        <x:v>Oui</x:v>
      </x:c>
      <x:c r="AN60" t="str">
        <x:f>XLOOKUP(C60,Sources!$A:$A,Sources!$N:$N,"À valider")</x:f>
        <x:v>À valider</x:v>
      </x:c>
    </x:row>
    <x:row r="61" ht="18" customHeight="1">
      <x:c r="A61" s="12" t="str">
        <x:v>STAB0060</x:v>
      </x:c>
      <x:c r="B61" s="12" t="str">
        <x:v>Colistine</x:v>
      </x:c>
      <x:c r="C61" s="12" t="str">
        <x:v>SRC007</x:v>
      </x:c>
      <x:c r="D61" s="12" t="str">
        <x:v>Doc interne récent</x:v>
      </x:c>
      <x:c r="E61" s="12" t="str">
        <x:v>Protocole local</x:v>
      </x:c>
      <x:c r="F61" s="12" t="str">
        <x:v>pse</x:v>
      </x:c>
      <x:c r="G61" s="12" t="str">
        <x:v>PSE seringue PP</x:v>
      </x:c>
      <x:c r="H61" s="12" t="str">
        <x:v>Continu 24 h possible</x:v>
      </x:c>
      <x:c r="I61" s="12" t="str">
        <x:v>Oui</x:v>
      </x:c>
      <x:c r="J61" s="12" t="str">
        <x:v>Non</x:v>
      </x:c>
      <x:c r="K61" s="12" t="str">
        <x:v>NaCl 0,9 %</x:v>
      </x:c>
      <x:c r="L61" s="12"/>
      <x:c r="M61" s="12" t="n">
        <x:v>0.02</x:v>
      </x:c>
      <x:c r="N61" s="12" t="str">
        <x:v>MUI/mL</x:v>
      </x:c>
      <x:c r="O61" s="12"/>
      <x:c r="P61" s="12"/>
      <x:c r="Q61" s="12"/>
      <x:c r="R61" s="12"/>
      <x:c r="S61" s="12" t="str">
        <x:v>RT</x:v>
      </x:c>
      <x:c r="T61" s="12" t="n">
        <x:v>24</x:v>
      </x:c>
      <x:c r="U61" s="12"/>
      <x:c r="V61" s="12" t="str"/>
      <x:c r="W61" s="12" t="str"/>
      <x:c r="X61" s="12" t="str"/>
      <x:c r="Y61" s="12" t="str"/>
      <x:c r="Z61" s="12" t="str">
        <x:v>À compléter</x:v>
      </x:c>
      <x:c r="AA61" s="12" t="str">
        <x:v>Continu possible</x:v>
      </x:c>
      <x:c r="AB61" s="12" t="str">
        <x:v>Vigilance</x:v>
      </x:c>
      <x:c r="AC61" s="12" t="str">
        <x:v>À vérifier</x:v>
      </x:c>
      <x:c r="AD61" s="12" t="str"/>
      <x:c r="AE61" s="12" t="str"/>
      <x:c r="AF61" s="12" t="str">
        <x:v>NaCl 0,9 % ; conc max 0,02 MUI/mL ; stab 24 h RT</x:v>
      </x:c>
      <x:c r="AG61" s="12" t="str">
        <x:v>Préparation très diluée selon document interne.</x:v>
      </x:c>
      <x:c r="AH61" s="12" t="str"/>
      <x:c r="AI61" s="12" t="str"/>
      <x:c r="AJ61" t="str">
        <x:f>XLOOKUP(C61,Sources!$A:$A,Sources!$J:$J,"Non")</x:f>
        <x:v>Oui</x:v>
      </x:c>
      <x:c r="AK61" t="str">
        <x:f>XLOOKUP(C61,Sources!$A:$A,Sources!$K:$K,"À décider")</x:f>
        <x:v>Interne hôpital</x:v>
      </x:c>
      <x:c r="AL61" t="str">
        <x:f>XLOOKUP(C61,Sources!$A:$A,Sources!$L:$L,"Non")</x:f>
        <x:v>Non</x:v>
      </x:c>
      <x:c r="AM61" t="str">
        <x:f>XLOOKUP(C61,Sources!$A:$A,Sources!$M:$M,"Non")</x:f>
        <x:v>Oui</x:v>
      </x:c>
      <x:c r="AN61" t="str">
        <x:f>XLOOKUP(C61,Sources!$A:$A,Sources!$N:$N,"À valider")</x:f>
        <x:v>À valider</x:v>
      </x:c>
    </x:row>
    <x:row r="62" ht="18" customHeight="1">
      <x:c r="A62" s="12" t="str">
        <x:v>STAB0061</x:v>
      </x:c>
      <x:c r="B62" s="12" t="str">
        <x:v>Fosfomycine IV</x:v>
      </x:c>
      <x:c r="C62" s="12" t="str">
        <x:v>SRC007</x:v>
      </x:c>
      <x:c r="D62" s="12" t="str">
        <x:v>Doc interne récent</x:v>
      </x:c>
      <x:c r="E62" s="12" t="str">
        <x:v>Protocole local</x:v>
      </x:c>
      <x:c r="F62" s="12" t="str">
        <x:v>poche</x:v>
      </x:c>
      <x:c r="G62" s="12" t="str">
        <x:v>Poche soluté classique</x:v>
      </x:c>
      <x:c r="H62" s="12" t="str">
        <x:v>Continu 24 h possible ; IVSE ou pompe volumétrique</x:v>
      </x:c>
      <x:c r="I62" s="12" t="str">
        <x:v>Oui</x:v>
      </x:c>
      <x:c r="J62" s="12" t="str">
        <x:v>Non</x:v>
      </x:c>
      <x:c r="K62" s="12" t="str">
        <x:v>NaCl 0,9 %</x:v>
      </x:c>
      <x:c r="L62" s="12"/>
      <x:c r="M62" s="12" t="n">
        <x:v>40</x:v>
      </x:c>
      <x:c r="N62" s="12" t="str">
        <x:v>mg/mL</x:v>
      </x:c>
      <x:c r="O62" s="12"/>
      <x:c r="P62" s="12"/>
      <x:c r="Q62" s="12"/>
      <x:c r="R62" s="12"/>
      <x:c r="S62" s="12" t="str">
        <x:v>RT</x:v>
      </x:c>
      <x:c r="T62" s="12" t="n">
        <x:v>24</x:v>
      </x:c>
      <x:c r="U62" s="12"/>
      <x:c r="V62" s="12" t="str"/>
      <x:c r="W62" s="12" t="str"/>
      <x:c r="X62" s="12" t="str"/>
      <x:c r="Y62" s="12" t="str"/>
      <x:c r="Z62" s="12" t="str">
        <x:v>À compléter</x:v>
      </x:c>
      <x:c r="AA62" s="12" t="str">
        <x:v>Continu possible</x:v>
      </x:c>
      <x:c r="AB62" s="12" t="str">
        <x:v>OK</x:v>
      </x:c>
      <x:c r="AC62" s="12" t="str">
        <x:v>À vérifier</x:v>
      </x:c>
      <x:c r="AD62" s="12" t="str"/>
      <x:c r="AE62" s="12" t="str"/>
      <x:c r="AF62" s="12" t="str">
        <x:v>NaCl 0,9 % ; conc max 40 mg/mL ; stab 24 h RT</x:v>
      </x:c>
      <x:c r="AG62" s="12" t="str">
        <x:v>Exemples internes : 4 g/100 mL, 16 g/500 mL.</x:v>
      </x:c>
      <x:c r="AH62" s="12" t="str"/>
      <x:c r="AI62" s="12" t="str"/>
      <x:c r="AJ62" t="str">
        <x:f>XLOOKUP(C62,Sources!$A:$A,Sources!$J:$J,"Non")</x:f>
        <x:v>Oui</x:v>
      </x:c>
      <x:c r="AK62" t="str">
        <x:f>XLOOKUP(C62,Sources!$A:$A,Sources!$K:$K,"À décider")</x:f>
        <x:v>Interne hôpital</x:v>
      </x:c>
      <x:c r="AL62" t="str">
        <x:f>XLOOKUP(C62,Sources!$A:$A,Sources!$L:$L,"Non")</x:f>
        <x:v>Non</x:v>
      </x:c>
      <x:c r="AM62" t="str">
        <x:f>XLOOKUP(C62,Sources!$A:$A,Sources!$M:$M,"Non")</x:f>
        <x:v>Oui</x:v>
      </x:c>
      <x:c r="AN62" t="str">
        <x:f>XLOOKUP(C62,Sources!$A:$A,Sources!$N:$N,"À valider")</x:f>
        <x:v>À valider</x:v>
      </x:c>
    </x:row>
    <x:row r="63" ht="18" customHeight="1">
      <x:c r="A63" s="12" t="str">
        <x:v>STAB0062</x:v>
      </x:c>
      <x:c r="B63" s="12" t="str">
        <x:v>Fosfomycine IV</x:v>
      </x:c>
      <x:c r="C63" s="12" t="str">
        <x:v>SRC007</x:v>
      </x:c>
      <x:c r="D63" s="12" t="str">
        <x:v>Doc interne récent</x:v>
      </x:c>
      <x:c r="E63" s="12" t="str">
        <x:v>Protocole local</x:v>
      </x:c>
      <x:c r="F63" s="12" t="str">
        <x:v>pse</x:v>
      </x:c>
      <x:c r="G63" s="12" t="str">
        <x:v>PSE seringue PP</x:v>
      </x:c>
      <x:c r="H63" s="12" t="str">
        <x:v>Continu 24 h possible ; IVSE ou pompe volumétrique</x:v>
      </x:c>
      <x:c r="I63" s="12" t="str">
        <x:v>Oui</x:v>
      </x:c>
      <x:c r="J63" s="12" t="str">
        <x:v>Non</x:v>
      </x:c>
      <x:c r="K63" s="12" t="str">
        <x:v>NaCl 0,9 %</x:v>
      </x:c>
      <x:c r="L63" s="12"/>
      <x:c r="M63" s="12" t="n">
        <x:v>40</x:v>
      </x:c>
      <x:c r="N63" s="12" t="str">
        <x:v>mg/mL</x:v>
      </x:c>
      <x:c r="O63" s="12"/>
      <x:c r="P63" s="12"/>
      <x:c r="Q63" s="12"/>
      <x:c r="R63" s="12"/>
      <x:c r="S63" s="12" t="str">
        <x:v>RT</x:v>
      </x:c>
      <x:c r="T63" s="12" t="n">
        <x:v>24</x:v>
      </x:c>
      <x:c r="U63" s="12"/>
      <x:c r="V63" s="12" t="str"/>
      <x:c r="W63" s="12" t="str"/>
      <x:c r="X63" s="12" t="str"/>
      <x:c r="Y63" s="12" t="str"/>
      <x:c r="Z63" s="12" t="str">
        <x:v>À compléter</x:v>
      </x:c>
      <x:c r="AA63" s="12" t="str">
        <x:v>Continu possible</x:v>
      </x:c>
      <x:c r="AB63" s="12" t="str">
        <x:v>OK</x:v>
      </x:c>
      <x:c r="AC63" s="12" t="str">
        <x:v>À vérifier</x:v>
      </x:c>
      <x:c r="AD63" s="12" t="str"/>
      <x:c r="AE63" s="12" t="str"/>
      <x:c r="AF63" s="12" t="str">
        <x:v>NaCl 0,9 % ; conc max 40 mg/mL ; stab 24 h RT ; IVSE/pompe possible</x:v>
      </x:c>
      <x:c r="AG63" s="12" t="str">
        <x:v>Exemples internes : 4 g/100 mL, 16 g/500 mL.</x:v>
      </x:c>
      <x:c r="AH63" s="12" t="str"/>
      <x:c r="AI63" s="12" t="str"/>
      <x:c r="AJ63" t="str">
        <x:f>XLOOKUP(C63,Sources!$A:$A,Sources!$J:$J,"Non")</x:f>
        <x:v>Oui</x:v>
      </x:c>
      <x:c r="AK63" t="str">
        <x:f>XLOOKUP(C63,Sources!$A:$A,Sources!$K:$K,"À décider")</x:f>
        <x:v>Interne hôpital</x:v>
      </x:c>
      <x:c r="AL63" t="str">
        <x:f>XLOOKUP(C63,Sources!$A:$A,Sources!$L:$L,"Non")</x:f>
        <x:v>Non</x:v>
      </x:c>
      <x:c r="AM63" t="str">
        <x:f>XLOOKUP(C63,Sources!$A:$A,Sources!$M:$M,"Non")</x:f>
        <x:v>Oui</x:v>
      </x:c>
      <x:c r="AN63" t="str">
        <x:f>XLOOKUP(C63,Sources!$A:$A,Sources!$N:$N,"À valider")</x:f>
        <x:v>À valider</x:v>
      </x:c>
    </x:row>
    <x:row r="64" ht="18" customHeight="1">
      <x:c r="A64" s="12" t="str">
        <x:v>STAB0063</x:v>
      </x:c>
      <x:c r="B64" s="12" t="str">
        <x:v>Témocilline</x:v>
      </x:c>
      <x:c r="C64" s="12" t="str">
        <x:v>SRC007</x:v>
      </x:c>
      <x:c r="D64" s="12" t="str">
        <x:v>Doc interne récent</x:v>
      </x:c>
      <x:c r="E64" s="12" t="str">
        <x:v>Protocole local</x:v>
      </x:c>
      <x:c r="F64" s="12" t="str">
        <x:v>poche</x:v>
      </x:c>
      <x:c r="G64" s="12" t="str">
        <x:v>Poche soluté classique</x:v>
      </x:c>
      <x:c r="H64" s="12" t="str">
        <x:v>Continu 24 h possible ; IVSE ou pompe volumétrique</x:v>
      </x:c>
      <x:c r="I64" s="12" t="str">
        <x:v>Oui</x:v>
      </x:c>
      <x:c r="J64" s="12" t="str">
        <x:v>Non</x:v>
      </x:c>
      <x:c r="K64" s="12" t="str">
        <x:v>NaCl 0,9 %</x:v>
      </x:c>
      <x:c r="L64" s="12"/>
      <x:c r="M64" s="12" t="n">
        <x:v>80</x:v>
      </x:c>
      <x:c r="N64" s="12" t="str">
        <x:v>mg/mL</x:v>
      </x:c>
      <x:c r="O64" s="12"/>
      <x:c r="P64" s="12"/>
      <x:c r="Q64" s="12"/>
      <x:c r="R64" s="12"/>
      <x:c r="S64" s="12" t="str">
        <x:v>RT</x:v>
      </x:c>
      <x:c r="T64" s="12" t="n">
        <x:v>24</x:v>
      </x:c>
      <x:c r="U64" s="12"/>
      <x:c r="V64" s="12" t="str"/>
      <x:c r="W64" s="12" t="str"/>
      <x:c r="X64" s="12" t="str"/>
      <x:c r="Y64" s="12" t="str"/>
      <x:c r="Z64" s="12" t="str">
        <x:v>À compléter</x:v>
      </x:c>
      <x:c r="AA64" s="12" t="str">
        <x:v>Continu possible</x:v>
      </x:c>
      <x:c r="AB64" s="12" t="str">
        <x:v>OK</x:v>
      </x:c>
      <x:c r="AC64" s="12" t="str">
        <x:v>À vérifier</x:v>
      </x:c>
      <x:c r="AD64" s="12" t="str"/>
      <x:c r="AE64" s="12" t="str"/>
      <x:c r="AF64" s="12" t="str">
        <x:v>NaCl 0,9 % ; conc max 80 mg/mL ; stab 24 h RT</x:v>
      </x:c>
      <x:c r="AG64" s="12" t="str">
        <x:v>Donnée exploitable pour stratégie continue.</x:v>
      </x:c>
      <x:c r="AH64" s="12" t="str"/>
      <x:c r="AI64" s="12" t="str"/>
      <x:c r="AJ64" t="str">
        <x:f>XLOOKUP(C64,Sources!$A:$A,Sources!$J:$J,"Non")</x:f>
        <x:v>Oui</x:v>
      </x:c>
      <x:c r="AK64" t="str">
        <x:f>XLOOKUP(C64,Sources!$A:$A,Sources!$K:$K,"À décider")</x:f>
        <x:v>Interne hôpital</x:v>
      </x:c>
      <x:c r="AL64" t="str">
        <x:f>XLOOKUP(C64,Sources!$A:$A,Sources!$L:$L,"Non")</x:f>
        <x:v>Non</x:v>
      </x:c>
      <x:c r="AM64" t="str">
        <x:f>XLOOKUP(C64,Sources!$A:$A,Sources!$M:$M,"Non")</x:f>
        <x:v>Oui</x:v>
      </x:c>
      <x:c r="AN64" t="str">
        <x:f>XLOOKUP(C64,Sources!$A:$A,Sources!$N:$N,"À valider")</x:f>
        <x:v>À valider</x:v>
      </x:c>
    </x:row>
    <x:row r="65" ht="18" customHeight="1">
      <x:c r="A65" s="12" t="str">
        <x:v>STAB0064</x:v>
      </x:c>
      <x:c r="B65" s="12" t="str">
        <x:v>Témocilline</x:v>
      </x:c>
      <x:c r="C65" s="12" t="str">
        <x:v>SRC007</x:v>
      </x:c>
      <x:c r="D65" s="12" t="str">
        <x:v>Doc interne récent</x:v>
      </x:c>
      <x:c r="E65" s="12" t="str">
        <x:v>Protocole local</x:v>
      </x:c>
      <x:c r="F65" s="12" t="str">
        <x:v>pse</x:v>
      </x:c>
      <x:c r="G65" s="12" t="str">
        <x:v>PSE seringue PP</x:v>
      </x:c>
      <x:c r="H65" s="12" t="str">
        <x:v>Continu 24 h possible ; IVSE ou pompe volumétrique</x:v>
      </x:c>
      <x:c r="I65" s="12" t="str">
        <x:v>Oui</x:v>
      </x:c>
      <x:c r="J65" s="12" t="str">
        <x:v>Non</x:v>
      </x:c>
      <x:c r="K65" s="12" t="str">
        <x:v>NaCl 0,9 %</x:v>
      </x:c>
      <x:c r="L65" s="12"/>
      <x:c r="M65" s="12" t="n">
        <x:v>80</x:v>
      </x:c>
      <x:c r="N65" s="12" t="str">
        <x:v>mg/mL</x:v>
      </x:c>
      <x:c r="O65" s="12"/>
      <x:c r="P65" s="12"/>
      <x:c r="Q65" s="12"/>
      <x:c r="R65" s="12"/>
      <x:c r="S65" s="12" t="str">
        <x:v>RT</x:v>
      </x:c>
      <x:c r="T65" s="12" t="n">
        <x:v>24</x:v>
      </x:c>
      <x:c r="U65" s="12"/>
      <x:c r="V65" s="12" t="str"/>
      <x:c r="W65" s="12" t="str"/>
      <x:c r="X65" s="12" t="str"/>
      <x:c r="Y65" s="12" t="str"/>
      <x:c r="Z65" s="12" t="str">
        <x:v>À compléter</x:v>
      </x:c>
      <x:c r="AA65" s="12" t="str">
        <x:v>Continu possible</x:v>
      </x:c>
      <x:c r="AB65" s="12" t="str">
        <x:v>OK</x:v>
      </x:c>
      <x:c r="AC65" s="12" t="str">
        <x:v>À vérifier</x:v>
      </x:c>
      <x:c r="AD65" s="12" t="str"/>
      <x:c r="AE65" s="12" t="str"/>
      <x:c r="AF65" s="12" t="str">
        <x:v>NaCl 0,9 % ; conc max 80 mg/mL ; stab 24 h RT ; ex 4–6 g/48 mL/24 h</x:v>
      </x:c>
      <x:c r="AG65" s="12" t="str">
        <x:v>Donnée exploitable pour stratégie continue.</x:v>
      </x:c>
      <x:c r="AH65" s="12" t="str"/>
      <x:c r="AI65" s="12" t="str"/>
      <x:c r="AJ65" t="str">
        <x:f>XLOOKUP(C65,Sources!$A:$A,Sources!$J:$J,"Non")</x:f>
        <x:v>Oui</x:v>
      </x:c>
      <x:c r="AK65" t="str">
        <x:f>XLOOKUP(C65,Sources!$A:$A,Sources!$K:$K,"À décider")</x:f>
        <x:v>Interne hôpital</x:v>
      </x:c>
      <x:c r="AL65" t="str">
        <x:f>XLOOKUP(C65,Sources!$A:$A,Sources!$L:$L,"Non")</x:f>
        <x:v>Non</x:v>
      </x:c>
      <x:c r="AM65" t="str">
        <x:f>XLOOKUP(C65,Sources!$A:$A,Sources!$M:$M,"Non")</x:f>
        <x:v>Oui</x:v>
      </x:c>
      <x:c r="AN65" t="str">
        <x:f>XLOOKUP(C65,Sources!$A:$A,Sources!$N:$N,"À valider")</x:f>
        <x:v>À valider</x:v>
      </x:c>
    </x:row>
    <x:row r="66" ht="18" customHeight="1">
      <x:c r="A66" s="12" t="str">
        <x:v>STAB0065</x:v>
      </x:c>
      <x:c r="B66" s="12" t="str">
        <x:v>Teicoplanine</x:v>
      </x:c>
      <x:c r="C66" s="12" t="str">
        <x:v>SRC007</x:v>
      </x:c>
      <x:c r="D66" s="12" t="str">
        <x:v>Doc interne récent</x:v>
      </x:c>
      <x:c r="E66" s="12" t="str">
        <x:v>Protocole local</x:v>
      </x:c>
      <x:c r="F66" s="12" t="str">
        <x:v>poche</x:v>
      </x:c>
      <x:c r="G66" s="12" t="str">
        <x:v>Poche soluté classique</x:v>
      </x:c>
      <x:c r="H66" s="12" t="str">
        <x:v>Discontinue recommandée ; perfusion 60 min</x:v>
      </x:c>
      <x:c r="I66" s="12" t="str">
        <x:v>Oui</x:v>
      </x:c>
      <x:c r="J66" s="12" t="str">
        <x:v>Oui</x:v>
      </x:c>
      <x:c r="K66" s="12" t="str">
        <x:v>NaCl 0,9 %</x:v>
      </x:c>
      <x:c r="L66" s="12"/>
      <x:c r="M66" s="12"/>
      <x:c r="N66" s="12" t="str"/>
      <x:c r="O66" s="12"/>
      <x:c r="P66" s="12"/>
      <x:c r="Q66" s="12"/>
      <x:c r="R66" s="12"/>
      <x:c r="S66" s="12" t="str">
        <x:v>RT</x:v>
      </x:c>
      <x:c r="T66" s="12" t="n">
        <x:v>24</x:v>
      </x:c>
      <x:c r="U66" s="12"/>
      <x:c r="V66" s="12" t="str"/>
      <x:c r="W66" s="12" t="str"/>
      <x:c r="X66" s="12" t="str"/>
      <x:c r="Y66" s="12" t="str"/>
      <x:c r="Z66" s="12" t="str">
        <x:v>À compléter</x:v>
      </x:c>
      <x:c r="AA66" s="12" t="str">
        <x:v>Discontinue</x:v>
      </x:c>
      <x:c r="AB66" s="12" t="str">
        <x:v>OK</x:v>
      </x:c>
      <x:c r="AC66" s="12" t="str">
        <x:v>À vérifier</x:v>
      </x:c>
      <x:c r="AD66" s="12" t="str"/>
      <x:c r="AE66" s="12" t="str"/>
      <x:c r="AF66" s="12" t="str">
        <x:v>NaCl 0,9 % ; 100–200 mg/50 mL ou 400 mg/100 mL ; stab 24 h RT ; conc max non explicitée</x:v>
      </x:c>
      <x:c r="AG66" s="12" t="str">
        <x:v>SPILF 2025 : pas de donnée de stabilité retenue pour perfusion prolongée/continue.</x:v>
      </x:c>
      <x:c r="AH66" s="12" t="str"/>
      <x:c r="AI66" s="12" t="str"/>
      <x:c r="AJ66" t="str">
        <x:f>XLOOKUP(C66,Sources!$A:$A,Sources!$J:$J,"Non")</x:f>
        <x:v>Oui</x:v>
      </x:c>
      <x:c r="AK66" t="str">
        <x:f>XLOOKUP(C66,Sources!$A:$A,Sources!$K:$K,"À décider")</x:f>
        <x:v>Interne hôpital</x:v>
      </x:c>
      <x:c r="AL66" t="str">
        <x:f>XLOOKUP(C66,Sources!$A:$A,Sources!$L:$L,"Non")</x:f>
        <x:v>Non</x:v>
      </x:c>
      <x:c r="AM66" t="str">
        <x:f>XLOOKUP(C66,Sources!$A:$A,Sources!$M:$M,"Non")</x:f>
        <x:v>Oui</x:v>
      </x:c>
      <x:c r="AN66" t="str">
        <x:f>XLOOKUP(C66,Sources!$A:$A,Sources!$N:$N,"À valider")</x:f>
        <x:v>À valider</x:v>
      </x:c>
    </x:row>
    <x:row r="67" ht="18" customHeight="1">
      <x:c r="A67" s="12" t="str">
        <x:v>STAB0066</x:v>
      </x:c>
      <x:c r="B67" s="12" t="str">
        <x:v>Spiramycine</x:v>
      </x:c>
      <x:c r="C67" s="12" t="str">
        <x:v>SRC007</x:v>
      </x:c>
      <x:c r="D67" s="12" t="str">
        <x:v>Doc interne récent</x:v>
      </x:c>
      <x:c r="E67" s="12" t="str">
        <x:v>Protocole local</x:v>
      </x:c>
      <x:c r="F67" s="12" t="str">
        <x:v>poche</x:v>
      </x:c>
      <x:c r="G67" s="12" t="str">
        <x:v>Poche soluté classique</x:v>
      </x:c>
      <x:c r="H67" s="12" t="str">
        <x:v>Discontinue recommandée ; perfusion 60 min</x:v>
      </x:c>
      <x:c r="I67" s="12" t="str">
        <x:v>Oui</x:v>
      </x:c>
      <x:c r="J67" s="12" t="str">
        <x:v>Oui</x:v>
      </x:c>
      <x:c r="K67" s="12" t="str">
        <x:v>G5</x:v>
      </x:c>
      <x:c r="L67" s="12"/>
      <x:c r="M67" s="12"/>
      <x:c r="N67" s="12" t="str"/>
      <x:c r="O67" s="12"/>
      <x:c r="P67" s="12"/>
      <x:c r="Q67" s="12"/>
      <x:c r="R67" s="12"/>
      <x:c r="S67" s="12" t="str">
        <x:v>RT</x:v>
      </x:c>
      <x:c r="T67" s="12" t="n">
        <x:v>12</x:v>
      </x:c>
      <x:c r="U67" s="12"/>
      <x:c r="V67" s="12" t="str"/>
      <x:c r="W67" s="12" t="str"/>
      <x:c r="X67" s="12" t="str"/>
      <x:c r="Y67" s="12" t="str"/>
      <x:c r="Z67" s="12" t="str">
        <x:v>À compléter</x:v>
      </x:c>
      <x:c r="AA67" s="12" t="str">
        <x:v>Discontinue</x:v>
      </x:c>
      <x:c r="AB67" s="12" t="str">
        <x:v>OK</x:v>
      </x:c>
      <x:c r="AC67" s="12" t="str">
        <x:v>À vérifier</x:v>
      </x:c>
      <x:c r="AD67" s="12" t="str"/>
      <x:c r="AE67" s="12" t="str"/>
      <x:c r="AF67" s="12" t="str">
        <x:v>G5 ; conc non précisée ; stab 12 h RT</x:v>
      </x:c>
      <x:c r="AG67" s="12" t="str">
        <x:v>NaCl non retenu dans l’extrait source.</x:v>
      </x:c>
      <x:c r="AH67" s="12" t="str"/>
      <x:c r="AI67" s="12" t="str"/>
      <x:c r="AJ67" t="str">
        <x:f>XLOOKUP(C67,Sources!$A:$A,Sources!$J:$J,"Non")</x:f>
        <x:v>Oui</x:v>
      </x:c>
      <x:c r="AK67" t="str">
        <x:f>XLOOKUP(C67,Sources!$A:$A,Sources!$K:$K,"À décider")</x:f>
        <x:v>Interne hôpital</x:v>
      </x:c>
      <x:c r="AL67" t="str">
        <x:f>XLOOKUP(C67,Sources!$A:$A,Sources!$L:$L,"Non")</x:f>
        <x:v>Non</x:v>
      </x:c>
      <x:c r="AM67" t="str">
        <x:f>XLOOKUP(C67,Sources!$A:$A,Sources!$M:$M,"Non")</x:f>
        <x:v>Oui</x:v>
      </x:c>
      <x:c r="AN67" t="str">
        <x:f>XLOOKUP(C67,Sources!$A:$A,Sources!$N:$N,"À valider")</x:f>
        <x:v>À valider</x:v>
      </x:c>
    </x:row>
    <x:row r="68" ht="18" customHeight="1">
      <x:c r="A68" s="12" t="str">
        <x:v>STAB0067</x:v>
      </x:c>
      <x:c r="B68" s="12" t="str">
        <x:v>Rifampicine IV</x:v>
      </x:c>
      <x:c r="C68" s="12" t="str">
        <x:v>SRC007</x:v>
      </x:c>
      <x:c r="D68" s="12" t="str">
        <x:v>Doc interne récent</x:v>
      </x:c>
      <x:c r="E68" s="12" t="str">
        <x:v>Protocole local</x:v>
      </x:c>
      <x:c r="F68" s="12" t="str">
        <x:v>poche</x:v>
      </x:c>
      <x:c r="G68" s="12" t="str">
        <x:v>Poche soluté classique</x:v>
      </x:c>
      <x:c r="H68" s="12" t="str">
        <x:v>Discontinue recommandée ; perfusion 90 min</x:v>
      </x:c>
      <x:c r="I68" s="12" t="str">
        <x:v>Oui</x:v>
      </x:c>
      <x:c r="J68" s="12" t="str">
        <x:v>Oui</x:v>
      </x:c>
      <x:c r="K68" s="12" t="str">
        <x:v>NaCl 0,9 % / G5</x:v>
      </x:c>
      <x:c r="L68" s="12"/>
      <x:c r="M68" s="12"/>
      <x:c r="N68" s="12" t="str"/>
      <x:c r="O68" s="12"/>
      <x:c r="P68" s="12"/>
      <x:c r="Q68" s="12"/>
      <x:c r="R68" s="12"/>
      <x:c r="S68" s="12" t="str"/>
      <x:c r="T68" s="12"/>
      <x:c r="U68" s="12"/>
      <x:c r="V68" s="12" t="str"/>
      <x:c r="W68" s="12" t="str"/>
      <x:c r="X68" s="12" t="str"/>
      <x:c r="Y68" s="12" t="str"/>
      <x:c r="Z68" s="12" t="str">
        <x:v>À compléter</x:v>
      </x:c>
      <x:c r="AA68" s="12" t="str">
        <x:v>Discontinue</x:v>
      </x:c>
      <x:c r="AB68" s="12" t="str">
        <x:v>Critique</x:v>
      </x:c>
      <x:c r="AC68" s="12" t="str">
        <x:v>À vérifier</x:v>
      </x:c>
      <x:c r="AD68" s="12" t="str"/>
      <x:c r="AE68" s="12" t="str"/>
      <x:c r="AF68" s="12" t="str">
        <x:v>G5 ; 600 mg/250 mL ; solvant fourni obligatoire ; NaCl incompatible ; stab non précisée</x:v>
      </x:c>
      <x:c r="AG68" s="12" t="str">
        <x:v>Incompatibilité NaCl à afficher clairement.</x:v>
      </x:c>
      <x:c r="AH68" s="12" t="str"/>
      <x:c r="AI68" s="12" t="str"/>
      <x:c r="AJ68" t="str">
        <x:f>XLOOKUP(C68,Sources!$A:$A,Sources!$J:$J,"Non")</x:f>
        <x:v>Oui</x:v>
      </x:c>
      <x:c r="AK68" t="str">
        <x:f>XLOOKUP(C68,Sources!$A:$A,Sources!$K:$K,"À décider")</x:f>
        <x:v>Interne hôpital</x:v>
      </x:c>
      <x:c r="AL68" t="str">
        <x:f>XLOOKUP(C68,Sources!$A:$A,Sources!$L:$L,"Non")</x:f>
        <x:v>Non</x:v>
      </x:c>
      <x:c r="AM68" t="str">
        <x:f>XLOOKUP(C68,Sources!$A:$A,Sources!$M:$M,"Non")</x:f>
        <x:v>Oui</x:v>
      </x:c>
      <x:c r="AN68" t="str">
        <x:f>XLOOKUP(C68,Sources!$A:$A,Sources!$N:$N,"À valider")</x:f>
        <x:v>À valider</x:v>
      </x:c>
    </x:row>
    <x:row r="69" ht="18" customHeight="1">
      <x:c r="A69" s="12" t="str">
        <x:v>STAB0068</x:v>
      </x:c>
      <x:c r="B69" s="12" t="str">
        <x:v>Voriconazole IV</x:v>
      </x:c>
      <x:c r="C69" s="12" t="str">
        <x:v>SRC009</x:v>
      </x:c>
      <x:c r="D69" s="12" t="str">
        <x:v>Doc interne récent + Centre Léon Bérard – HAD</x:v>
      </x:c>
      <x:c r="E69" s="12" t="str">
        <x:v>Protocole local</x:v>
      </x:c>
      <x:c r="F69" s="12" t="str">
        <x:v>poche</x:v>
      </x:c>
      <x:c r="G69" s="12" t="str">
        <x:v>Poche soluté classique</x:v>
      </x:c>
      <x:c r="H69" s="12" t="str">
        <x:v>Discontinue/prolongée ; perfusion 1–3 h ; débit max 3 mg/kg/h ; pas IVD</x:v>
      </x:c>
      <x:c r="I69" s="12" t="str">
        <x:v>Oui</x:v>
      </x:c>
      <x:c r="J69" s="12" t="str">
        <x:v>Oui</x:v>
      </x:c>
      <x:c r="K69" s="12" t="str">
        <x:v>NaCl 0,9 % / G5</x:v>
      </x:c>
      <x:c r="L69" s="12" t="n">
        <x:v>0.5</x:v>
      </x:c>
      <x:c r="M69" s="12" t="n">
        <x:v>5</x:v>
      </x:c>
      <x:c r="N69" s="12" t="str">
        <x:v>mg/mL</x:v>
      </x:c>
      <x:c r="O69" s="12"/>
      <x:c r="P69" s="12"/>
      <x:c r="Q69" s="12" t="n">
        <x:v>8</x:v>
      </x:c>
      <x:c r="R69" s="12" t="n">
        <x:v>8</x:v>
      </x:c>
      <x:c r="S69" s="12" t="str">
        <x:v>8°C</x:v>
      </x:c>
      <x:c r="T69" s="12" t="n">
        <x:v>24</x:v>
      </x:c>
      <x:c r="U69" s="12"/>
      <x:c r="V69" s="12" t="str"/>
      <x:c r="W69" s="12" t="str"/>
      <x:c r="X69" s="12" t="str"/>
      <x:c r="Y69" s="12" t="str"/>
      <x:c r="Z69" s="12" t="str">
        <x:v>À compléter</x:v>
      </x:c>
      <x:c r="AA69" s="12" t="str">
        <x:v>Discontinue/prolongée</x:v>
      </x:c>
      <x:c r="AB69" s="12" t="str">
        <x:v>OK</x:v>
      </x:c>
      <x:c r="AC69" s="12" t="str">
        <x:v>À vérifier</x:v>
      </x:c>
      <x:c r="AD69" s="12" t="str"/>
      <x:c r="AE69" s="12" t="str"/>
      <x:c r="AF69" s="12" t="str">
        <x:v>NaCl 0,9 % ou G5 ; conc 0,5–5 mg/mL ; stab 24 h entre 2–8°C</x:v>
      </x:c>
      <x:c r="AG69" s="12" t="str">
        <x:v>Vitesse maximale à respecter.</x:v>
      </x:c>
      <x:c r="AH69" s="12" t="str"/>
      <x:c r="AI69" s="12" t="str"/>
      <x:c r="AJ69" t="str">
        <x:f>XLOOKUP(C69,Sources!$A:$A,Sources!$J:$J,"Non")</x:f>
        <x:v>Oui</x:v>
      </x:c>
      <x:c r="AK69" t="str">
        <x:f>XLOOKUP(C69,Sources!$A:$A,Sources!$K:$K,"À décider")</x:f>
        <x:v>Interne hôpital</x:v>
      </x:c>
      <x:c r="AL69" t="str">
        <x:f>XLOOKUP(C69,Sources!$A:$A,Sources!$L:$L,"Non")</x:f>
        <x:v>Non</x:v>
      </x:c>
      <x:c r="AM69" t="str">
        <x:f>XLOOKUP(C69,Sources!$A:$A,Sources!$M:$M,"Non")</x:f>
        <x:v>Oui</x:v>
      </x:c>
      <x:c r="AN69" t="str">
        <x:f>XLOOKUP(C69,Sources!$A:$A,Sources!$N:$N,"À valider")</x:f>
        <x:v>À valider</x:v>
      </x:c>
    </x:row>
    <x:row r="70" ht="18" customHeight="1">
      <x:c r="A70" s="12" t="str">
        <x:v>STAB0069</x:v>
      </x:c>
      <x:c r="B70" s="12" t="str">
        <x:v>Caspofungine</x:v>
      </x:c>
      <x:c r="C70" s="12" t="str">
        <x:v>SRC009</x:v>
      </x:c>
      <x:c r="D70" s="12" t="str">
        <x:v>Doc interne récent + Centre Léon Bérard – HAD</x:v>
      </x:c>
      <x:c r="E70" s="12" t="str">
        <x:v>Protocole local</x:v>
      </x:c>
      <x:c r="F70" s="12" t="str">
        <x:v>poche</x:v>
      </x:c>
      <x:c r="G70" s="12" t="str">
        <x:v>Poche soluté classique</x:v>
      </x:c>
      <x:c r="H70" s="12" t="str">
        <x:v>Discontinue recommandée ; perfusion 60 min</x:v>
      </x:c>
      <x:c r="I70" s="12" t="str">
        <x:v>Oui</x:v>
      </x:c>
      <x:c r="J70" s="12" t="str">
        <x:v>Oui</x:v>
      </x:c>
      <x:c r="K70" s="12" t="str">
        <x:v>NaCl 0,9 % / G5</x:v>
      </x:c>
      <x:c r="L70" s="12"/>
      <x:c r="M70" s="12"/>
      <x:c r="N70" s="12" t="str"/>
      <x:c r="O70" s="12"/>
      <x:c r="P70" s="12"/>
      <x:c r="Q70" s="12"/>
      <x:c r="R70" s="12"/>
      <x:c r="S70" s="12" t="str">
        <x:v>RT</x:v>
      </x:c>
      <x:c r="T70" s="12" t="n">
        <x:v>24</x:v>
      </x:c>
      <x:c r="U70" s="12"/>
      <x:c r="V70" s="12" t="str"/>
      <x:c r="W70" s="12" t="str"/>
      <x:c r="X70" s="12" t="str"/>
      <x:c r="Y70" s="12" t="str"/>
      <x:c r="Z70" s="12" t="str">
        <x:v>À compléter</x:v>
      </x:c>
      <x:c r="AA70" s="12" t="str">
        <x:v>Discontinue</x:v>
      </x:c>
      <x:c r="AB70" s="12" t="str">
        <x:v>Critique</x:v>
      </x:c>
      <x:c r="AC70" s="12" t="str">
        <x:v>À vérifier</x:v>
      </x:c>
      <x:c r="AD70" s="12" t="str"/>
      <x:c r="AE70" s="12" t="str"/>
      <x:c r="AF70" s="12" t="str">
        <x:v>NaCl 0,9 % exclusivement ; 50 mg/100 mL ou 70 mg/250 mL ; stab 24 h RT ; G5 incompatible</x:v>
      </x:c>
      <x:c r="AG70" s="12" t="str">
        <x:v>NaCl exclusivement.</x:v>
      </x:c>
      <x:c r="AH70" s="12" t="str"/>
      <x:c r="AI70" s="12" t="str"/>
      <x:c r="AJ70" t="str">
        <x:f>XLOOKUP(C70,Sources!$A:$A,Sources!$J:$J,"Non")</x:f>
        <x:v>Oui</x:v>
      </x:c>
      <x:c r="AK70" t="str">
        <x:f>XLOOKUP(C70,Sources!$A:$A,Sources!$K:$K,"À décider")</x:f>
        <x:v>Interne hôpital</x:v>
      </x:c>
      <x:c r="AL70" t="str">
        <x:f>XLOOKUP(C70,Sources!$A:$A,Sources!$L:$L,"Non")</x:f>
        <x:v>Non</x:v>
      </x:c>
      <x:c r="AM70" t="str">
        <x:f>XLOOKUP(C70,Sources!$A:$A,Sources!$M:$M,"Non")</x:f>
        <x:v>Oui</x:v>
      </x:c>
      <x:c r="AN70" t="str">
        <x:f>XLOOKUP(C70,Sources!$A:$A,Sources!$N:$N,"À valider")</x:f>
        <x:v>À valider</x:v>
      </x:c>
    </x:row>
    <x:row r="71" ht="18" customHeight="1">
      <x:c r="A71" s="12" t="str">
        <x:v>STAB0070</x:v>
      </x:c>
      <x:c r="B71" s="12" t="str">
        <x:v>Fluconazole</x:v>
      </x:c>
      <x:c r="C71" s="12" t="str">
        <x:v>SRC007</x:v>
      </x:c>
      <x:c r="D71" s="12" t="str">
        <x:v>Doc interne récent</x:v>
      </x:c>
      <x:c r="E71" s="12" t="str">
        <x:v>Protocole local</x:v>
      </x:c>
      <x:c r="F71" s="12" t="str">
        <x:v>poche</x:v>
      </x:c>
      <x:c r="G71" s="12" t="str">
        <x:v>Poche soluté classique</x:v>
      </x:c>
      <x:c r="H71" s="12" t="str">
        <x:v>Discontinue recommandée ; prêt à l’emploi ; perfusion 60 min</x:v>
      </x:c>
      <x:c r="I71" s="12" t="str">
        <x:v>Oui</x:v>
      </x:c>
      <x:c r="J71" s="12" t="str">
        <x:v>Oui</x:v>
      </x:c>
      <x:c r="K71" s="12" t="str"/>
      <x:c r="L71" s="12"/>
      <x:c r="M71" s="12"/>
      <x:c r="N71" s="12" t="str"/>
      <x:c r="O71" s="12"/>
      <x:c r="P71" s="12"/>
      <x:c r="Q71" s="12"/>
      <x:c r="R71" s="12"/>
      <x:c r="S71" s="12" t="str"/>
      <x:c r="T71" s="12"/>
      <x:c r="U71" s="12"/>
      <x:c r="V71" s="12" t="str"/>
      <x:c r="W71" s="12" t="str"/>
      <x:c r="X71" s="12" t="str"/>
      <x:c r="Y71" s="12" t="str"/>
      <x:c r="Z71" s="12" t="str">
        <x:v>À compléter</x:v>
      </x:c>
      <x:c r="AA71" s="12" t="str">
        <x:v>Discontinue</x:v>
      </x:c>
      <x:c r="AB71" s="12" t="str">
        <x:v>OK</x:v>
      </x:c>
      <x:c r="AC71" s="12" t="str">
        <x:v>À vérifier</x:v>
      </x:c>
      <x:c r="AD71" s="12" t="str"/>
      <x:c r="AE71" s="12" t="str"/>
      <x:c r="AF71" s="12" t="str">
        <x:v>Prêt à l’emploi ; conc commerciale ; stabilité non précisée</x:v>
      </x:c>
      <x:c r="AG71" s="12" t="str">
        <x:v>Donnée limitée à la présentation prête à l’emploi.</x:v>
      </x:c>
      <x:c r="AH71" s="12" t="str"/>
      <x:c r="AI71" s="12" t="str"/>
      <x:c r="AJ71" t="str">
        <x:f>XLOOKUP(C71,Sources!$A:$A,Sources!$J:$J,"Non")</x:f>
        <x:v>Oui</x:v>
      </x:c>
      <x:c r="AK71" t="str">
        <x:f>XLOOKUP(C71,Sources!$A:$A,Sources!$K:$K,"À décider")</x:f>
        <x:v>Interne hôpital</x:v>
      </x:c>
      <x:c r="AL71" t="str">
        <x:f>XLOOKUP(C71,Sources!$A:$A,Sources!$L:$L,"Non")</x:f>
        <x:v>Non</x:v>
      </x:c>
      <x:c r="AM71" t="str">
        <x:f>XLOOKUP(C71,Sources!$A:$A,Sources!$M:$M,"Non")</x:f>
        <x:v>Oui</x:v>
      </x:c>
      <x:c r="AN71" t="str">
        <x:f>XLOOKUP(C71,Sources!$A:$A,Sources!$N:$N,"À valider")</x:f>
        <x:v>À valider</x:v>
      </x:c>
    </x:row>
    <x:row r="72" ht="18" customHeight="1">
      <x:c r="A72" s="12" t="str">
        <x:v>STAB0071</x:v>
      </x:c>
      <x:c r="B72" s="12" t="str">
        <x:v>Artesunate</x:v>
      </x:c>
      <x:c r="C72" s="12" t="str">
        <x:v>SRC008</x:v>
      </x:c>
      <x:c r="D72" s="12" t="str">
        <x:v>Doc interne récent + CH de Tourcoing 2017</x:v>
      </x:c>
      <x:c r="E72" s="12" t="str">
        <x:v>Protocole local</x:v>
      </x:c>
      <x:c r="F72" s="12" t="str">
        <x:v>poche</x:v>
      </x:c>
      <x:c r="G72" s="12" t="str">
        <x:v>Poche soluté classique</x:v>
      </x:c>
      <x:c r="H72" s="12" t="str">
        <x:v>Discontinue recommandée ; perfusion 30 min ou IV lente selon source</x:v>
      </x:c>
      <x:c r="I72" s="12" t="str">
        <x:v>Oui</x:v>
      </x:c>
      <x:c r="J72" s="12" t="str">
        <x:v>Oui</x:v>
      </x:c>
      <x:c r="K72" s="12" t="str">
        <x:v>NaCl 0,9 %</x:v>
      </x:c>
      <x:c r="L72" s="12"/>
      <x:c r="M72" s="12" t="n">
        <x:v>10</x:v>
      </x:c>
      <x:c r="N72" s="12" t="str">
        <x:v>mg/mL</x:v>
      </x:c>
      <x:c r="O72" s="12"/>
      <x:c r="P72" s="12"/>
      <x:c r="Q72" s="12"/>
      <x:c r="R72" s="12"/>
      <x:c r="S72" s="12" t="str">
        <x:v>RT</x:v>
      </x:c>
      <x:c r="T72" s="12" t="n">
        <x:v>6</x:v>
      </x:c>
      <x:c r="U72" s="12"/>
      <x:c r="V72" s="12" t="str"/>
      <x:c r="W72" s="12" t="str"/>
      <x:c r="X72" s="12" t="str"/>
      <x:c r="Y72" s="12" t="str"/>
      <x:c r="Z72" s="12" t="str">
        <x:v>À compléter</x:v>
      </x:c>
      <x:c r="AA72" s="12" t="str">
        <x:v>Discontinue</x:v>
      </x:c>
      <x:c r="AB72" s="12" t="str">
        <x:v>Vigilance</x:v>
      </x:c>
      <x:c r="AC72" s="12" t="str">
        <x:v>À vérifier</x:v>
      </x:c>
      <x:c r="AD72" s="12" t="str"/>
      <x:c r="AE72" s="12" t="str"/>
      <x:c r="AF72" s="12" t="str">
        <x:v>NaCl 0,9 % ; conc max 10 mg/mL ; stab 6 h RT</x:v>
      </x:c>
      <x:c r="AG72" s="12" t="str">
        <x:v>Solvant fourni / bicarbonate selon source.</x:v>
      </x:c>
      <x:c r="AH72" s="12" t="str"/>
      <x:c r="AI72" s="12" t="str"/>
      <x:c r="AJ72" t="str">
        <x:f>XLOOKUP(C72,Sources!$A:$A,Sources!$J:$J,"Non")</x:f>
        <x:v>Oui</x:v>
      </x:c>
      <x:c r="AK72" t="str">
        <x:f>XLOOKUP(C72,Sources!$A:$A,Sources!$K:$K,"À décider")</x:f>
        <x:v>Interne hôpital</x:v>
      </x:c>
      <x:c r="AL72" t="str">
        <x:f>XLOOKUP(C72,Sources!$A:$A,Sources!$L:$L,"Non")</x:f>
        <x:v>Non</x:v>
      </x:c>
      <x:c r="AM72" t="str">
        <x:f>XLOOKUP(C72,Sources!$A:$A,Sources!$M:$M,"Non")</x:f>
        <x:v>Oui</x:v>
      </x:c>
      <x:c r="AN72" t="str">
        <x:f>XLOOKUP(C72,Sources!$A:$A,Sources!$N:$N,"À valider")</x:f>
        <x:v>À valider</x:v>
      </x:c>
    </x:row>
    <x:row r="73" ht="18" customHeight="1">
      <x:c r="A73" s="12" t="str">
        <x:v>STAB0072</x:v>
      </x:c>
      <x:c r="B73" s="12" t="str">
        <x:v>Pentamidine</x:v>
      </x:c>
      <x:c r="C73" s="12" t="str">
        <x:v>SRC008</x:v>
      </x:c>
      <x:c r="D73" s="12" t="str">
        <x:v>Doc interne récent + CH de Tourcoing 2017</x:v>
      </x:c>
      <x:c r="E73" s="12" t="str">
        <x:v>Protocole local</x:v>
      </x:c>
      <x:c r="F73" s="12" t="str">
        <x:v>poche</x:v>
      </x:c>
      <x:c r="G73" s="12" t="str">
        <x:v>Poche soluté classique</x:v>
      </x:c>
      <x:c r="H73" s="12" t="str">
        <x:v>Discontinue recommandée ; perfusion 60 min ; aérosol possible selon indication</x:v>
      </x:c>
      <x:c r="I73" s="12" t="str">
        <x:v>Oui</x:v>
      </x:c>
      <x:c r="J73" s="12" t="str">
        <x:v>Oui</x:v>
      </x:c>
      <x:c r="K73" s="12" t="str">
        <x:v>NaCl 0,9 % / G5</x:v>
      </x:c>
      <x:c r="L73" s="12"/>
      <x:c r="M73" s="12"/>
      <x:c r="N73" s="12" t="str"/>
      <x:c r="O73" s="12"/>
      <x:c r="P73" s="12"/>
      <x:c r="Q73" s="12"/>
      <x:c r="R73" s="12"/>
      <x:c r="S73" s="12" t="str"/>
      <x:c r="T73" s="12"/>
      <x:c r="U73" s="12"/>
      <x:c r="V73" s="12" t="str"/>
      <x:c r="W73" s="12" t="str"/>
      <x:c r="X73" s="12" t="str"/>
      <x:c r="Y73" s="12" t="str"/>
      <x:c r="Z73" s="12" t="str">
        <x:v>À compléter</x:v>
      </x:c>
      <x:c r="AA73" s="12" t="str">
        <x:v>Discontinue</x:v>
      </x:c>
      <x:c r="AB73" s="12" t="str">
        <x:v>Critique</x:v>
      </x:c>
      <x:c r="AC73" s="12" t="str">
        <x:v>À vérifier</x:v>
      </x:c>
      <x:c r="AD73" s="12" t="str"/>
      <x:c r="AE73" s="12" t="str"/>
      <x:c r="AF73" s="12" t="str">
        <x:v>G5 ; 300 mg/100 mL selon doc interne ; NaCl incompatible ; stab non précisée</x:v>
      </x:c>
      <x:c r="AG73" s="12" t="str">
        <x:v>NaCl incompatible.</x:v>
      </x:c>
      <x:c r="AH73" s="12" t="str"/>
      <x:c r="AI73" s="12" t="str"/>
      <x:c r="AJ73" t="str">
        <x:f>XLOOKUP(C73,Sources!$A:$A,Sources!$J:$J,"Non")</x:f>
        <x:v>Oui</x:v>
      </x:c>
      <x:c r="AK73" t="str">
        <x:f>XLOOKUP(C73,Sources!$A:$A,Sources!$K:$K,"À décider")</x:f>
        <x:v>Interne hôpital</x:v>
      </x:c>
      <x:c r="AL73" t="str">
        <x:f>XLOOKUP(C73,Sources!$A:$A,Sources!$L:$L,"Non")</x:f>
        <x:v>Non</x:v>
      </x:c>
      <x:c r="AM73" t="str">
        <x:f>XLOOKUP(C73,Sources!$A:$A,Sources!$M:$M,"Non")</x:f>
        <x:v>Oui</x:v>
      </x:c>
      <x:c r="AN73" t="str">
        <x:f>XLOOKUP(C73,Sources!$A:$A,Sources!$N:$N,"À valider")</x:f>
        <x:v>À valider</x:v>
      </x:c>
    </x:row>
    <x:row r="74" ht="18" customHeight="1">
      <x:c r="A74" s="12" t="str">
        <x:v>STAB0073</x:v>
      </x:c>
      <x:c r="B74" s="12" t="str">
        <x:v>Aztréonam</x:v>
      </x:c>
      <x:c r="C74" s="12" t="str">
        <x:v>SRC005</x:v>
      </x:c>
      <x:c r="D74" s="12" t="str">
        <x:v>Centre Léon Bérard – HAD</x:v>
      </x:c>
      <x:c r="E74" s="12" t="str">
        <x:v>Protocole local</x:v>
      </x:c>
      <x:c r="F74" s="12" t="str">
        <x:v>elastomere</x:v>
      </x:c>
      <x:c r="G74" s="12" t="str">
        <x:v>Diffuseur élastomère</x:v>
      </x:c>
      <x:c r="H74" s="12" t="str">
        <x:v>Perfusion IV continue en diffuseur élastomère ; 24 h</x:v>
      </x:c>
      <x:c r="I74" s="12" t="str">
        <x:v>Oui</x:v>
      </x:c>
      <x:c r="J74" s="12" t="str">
        <x:v>Non</x:v>
      </x:c>
      <x:c r="K74" s="12" t="str">
        <x:v>NaCl 0,9 %</x:v>
      </x:c>
      <x:c r="L74" s="12"/>
      <x:c r="M74" s="12" t="n">
        <x:v>100</x:v>
      </x:c>
      <x:c r="N74" s="12" t="str">
        <x:v>mg/mL</x:v>
      </x:c>
      <x:c r="O74" s="12"/>
      <x:c r="P74" s="12"/>
      <x:c r="Q74" s="12"/>
      <x:c r="R74" s="12"/>
      <x:c r="S74" s="12" t="str"/>
      <x:c r="T74" s="12" t="n">
        <x:v>24</x:v>
      </x:c>
      <x:c r="U74" s="12"/>
      <x:c r="V74" s="12" t="str"/>
      <x:c r="W74" s="12" t="str"/>
      <x:c r="X74" s="12" t="str"/>
      <x:c r="Y74" s="12" t="str"/>
      <x:c r="Z74" s="12" t="str">
        <x:v>À compléter</x:v>
      </x:c>
      <x:c r="AA74" s="12" t="str">
        <x:v>Diffuseur élastomère 24 h possible</x:v>
      </x:c>
      <x:c r="AB74" s="12" t="str">
        <x:v>Critique</x:v>
      </x:c>
      <x:c r="AC74" s="12" t="str">
        <x:v>À vérifier</x:v>
      </x:c>
      <x:c r="AD74" s="12" t="str"/>
      <x:c r="AE74" s="12" t="str"/>
      <x:c r="AF74" s="12" t="str">
        <x:v>NaCl 0,9 % ; diffuseur élastomère ; conc max 100 mg/mL ; stab 24 h</x:v>
      </x:c>
      <x:c r="AG74" s="12" t="str">
        <x:v>Dans ce document, “diffuseur” = diffuseur élastomère ; à ne pas confondre avec ANAPA.</x:v>
      </x:c>
      <x:c r="AH74" s="12" t="str"/>
      <x:c r="AI74" s="12" t="str"/>
      <x:c r="AJ74" t="str">
        <x:f>XLOOKUP(C74,Sources!$A:$A,Sources!$J:$J,"Non")</x:f>
        <x:v>Non</x:v>
      </x:c>
      <x:c r="AK74" t="str">
        <x:f>XLOOKUP(C74,Sources!$A:$A,Sources!$K:$K,"À décider")</x:f>
        <x:v>À décider</x:v>
      </x:c>
      <x:c r="AL74" t="str">
        <x:f>XLOOKUP(C74,Sources!$A:$A,Sources!$L:$L,"Non")</x:f>
        <x:v>Non</x:v>
      </x:c>
      <x:c r="AM74" t="str">
        <x:f>XLOOKUP(C74,Sources!$A:$A,Sources!$M:$M,"Non")</x:f>
        <x:v>Non</x:v>
      </x:c>
      <x:c r="AN74" t="str">
        <x:f>XLOOKUP(C74,Sources!$A:$A,Sources!$N:$N,"À valider")</x:f>
        <x:v>À valider</x:v>
      </x:c>
    </x:row>
    <x:row r="75" ht="18" customHeight="1">
      <x:c r="A75" s="12" t="str">
        <x:v>STAB0074</x:v>
      </x:c>
      <x:c r="B75" s="12" t="str">
        <x:v>Céfazoline</x:v>
      </x:c>
      <x:c r="C75" s="12" t="str">
        <x:v>SRC005</x:v>
      </x:c>
      <x:c r="D75" s="12" t="str">
        <x:v>Centre Léon Bérard – HAD</x:v>
      </x:c>
      <x:c r="E75" s="12" t="str">
        <x:v>Protocole local</x:v>
      </x:c>
      <x:c r="F75" s="12" t="str">
        <x:v>elastomere</x:v>
      </x:c>
      <x:c r="G75" s="12" t="str">
        <x:v>Diffuseur élastomère</x:v>
      </x:c>
      <x:c r="H75" s="12" t="str">
        <x:v>Perfusion IV continue en diffuseur élastomère ; 24 h ; abri lumière</x:v>
      </x:c>
      <x:c r="I75" s="12" t="str">
        <x:v>Oui</x:v>
      </x:c>
      <x:c r="J75" s="12" t="str">
        <x:v>Non</x:v>
      </x:c>
      <x:c r="K75" s="12" t="str">
        <x:v>NaCl 0,9 % / G5</x:v>
      </x:c>
      <x:c r="L75" s="12"/>
      <x:c r="M75" s="12" t="n">
        <x:v>40</x:v>
      </x:c>
      <x:c r="N75" s="12" t="str">
        <x:v>mg/mL</x:v>
      </x:c>
      <x:c r="O75" s="12"/>
      <x:c r="P75" s="12"/>
      <x:c r="Q75" s="12"/>
      <x:c r="R75" s="12"/>
      <x:c r="S75" s="12" t="str"/>
      <x:c r="T75" s="12" t="n">
        <x:v>24</x:v>
      </x:c>
      <x:c r="U75" s="12"/>
      <x:c r="V75" s="12" t="str">
        <x:v>Oui</x:v>
      </x:c>
      <x:c r="W75" s="12" t="str"/>
      <x:c r="X75" s="12" t="str"/>
      <x:c r="Y75" s="12" t="str"/>
      <x:c r="Z75" s="12" t="str">
        <x:v>À compléter</x:v>
      </x:c>
      <x:c r="AA75" s="12" t="str">
        <x:v>Diffuseur élastomère 24 h possible</x:v>
      </x:c>
      <x:c r="AB75" s="12" t="str">
        <x:v>OK</x:v>
      </x:c>
      <x:c r="AC75" s="12" t="str">
        <x:v>À vérifier</x:v>
      </x:c>
      <x:c r="AD75" s="12" t="str"/>
      <x:c r="AE75" s="12" t="str"/>
      <x:c r="AF75" s="12" t="str">
        <x:v>NaCl 0,9 % ou G5 ; diffuseur élastomère ; conc max 40 mg/mL ; stab 24 h ; abri lumière</x:v>
      </x:c>
      <x:c r="AG75" s="12" t="str">
        <x:v>Donnée Centre Léon Bérard – HAD.</x:v>
      </x:c>
      <x:c r="AH75" s="12" t="str"/>
      <x:c r="AI75" s="12" t="str"/>
      <x:c r="AJ75" t="str">
        <x:f>XLOOKUP(C75,Sources!$A:$A,Sources!$J:$J,"Non")</x:f>
        <x:v>Non</x:v>
      </x:c>
      <x:c r="AK75" t="str">
        <x:f>XLOOKUP(C75,Sources!$A:$A,Sources!$K:$K,"À décider")</x:f>
        <x:v>À décider</x:v>
      </x:c>
      <x:c r="AL75" t="str">
        <x:f>XLOOKUP(C75,Sources!$A:$A,Sources!$L:$L,"Non")</x:f>
        <x:v>Non</x:v>
      </x:c>
      <x:c r="AM75" t="str">
        <x:f>XLOOKUP(C75,Sources!$A:$A,Sources!$M:$M,"Non")</x:f>
        <x:v>Non</x:v>
      </x:c>
      <x:c r="AN75" t="str">
        <x:f>XLOOKUP(C75,Sources!$A:$A,Sources!$N:$N,"À valider")</x:f>
        <x:v>À valider</x:v>
      </x:c>
    </x:row>
    <x:row r="76" ht="18" customHeight="1">
      <x:c r="A76" s="12" t="str">
        <x:v>STAB0075</x:v>
      </x:c>
      <x:c r="B76" s="12" t="str">
        <x:v>Céfépime</x:v>
      </x:c>
      <x:c r="C76" s="12" t="str">
        <x:v>SRC005</x:v>
      </x:c>
      <x:c r="D76" s="12" t="str">
        <x:v>Centre Léon Bérard – HAD</x:v>
      </x:c>
      <x:c r="E76" s="12" t="str">
        <x:v>Protocole local</x:v>
      </x:c>
      <x:c r="F76" s="12" t="str">
        <x:v>elastomere</x:v>
      </x:c>
      <x:c r="G76" s="12" t="str">
        <x:v>Diffuseur élastomère</x:v>
      </x:c>
      <x:c r="H76" s="12" t="str">
        <x:v>Perfusion IV continue en diffuseur élastomère ; changement toutes les 12 h ; abri lumière</x:v>
      </x:c>
      <x:c r="I76" s="12" t="str">
        <x:v>Oui</x:v>
      </x:c>
      <x:c r="J76" s="12" t="str">
        <x:v>Non</x:v>
      </x:c>
      <x:c r="K76" s="12" t="str">
        <x:v>NaCl 0,9 %</x:v>
      </x:c>
      <x:c r="L76" s="12"/>
      <x:c r="M76" s="12"/>
      <x:c r="N76" s="12" t="str"/>
      <x:c r="O76" s="12"/>
      <x:c r="P76" s="12"/>
      <x:c r="Q76" s="12"/>
      <x:c r="R76" s="12"/>
      <x:c r="S76" s="12" t="str"/>
      <x:c r="T76" s="12" t="n">
        <x:v>12</x:v>
      </x:c>
      <x:c r="U76" s="12"/>
      <x:c r="V76" s="12" t="str">
        <x:v>Oui</x:v>
      </x:c>
      <x:c r="W76" s="12" t="str"/>
      <x:c r="X76" s="12" t="str"/>
      <x:c r="Y76" s="12" t="str"/>
      <x:c r="Z76" s="12" t="str">
        <x:v>À compléter</x:v>
      </x:c>
      <x:c r="AA76" s="12" t="str">
        <x:v>Diffuseur élastomère 12 h</x:v>
      </x:c>
      <x:c r="AB76" s="12" t="str">
        <x:v>OK</x:v>
      </x:c>
      <x:c r="AC76" s="12" t="str">
        <x:v>À vérifier</x:v>
      </x:c>
      <x:c r="AD76" s="12" t="str"/>
      <x:c r="AE76" s="12" t="str"/>
      <x:c r="AF76" s="12" t="str">
        <x:v>NaCl 0,9 % ; diffuseur élastomère ; stabilité 12 h ; abri lumière ; conc max non précisée dans l’extrait</x:v>
      </x:c>
      <x:c r="AG76" s="12" t="str">
        <x:v>Plus restrictif que SPILF/Micrel ; lié au dispositif et à la pratique HAD.</x:v>
      </x:c>
      <x:c r="AH76" s="12" t="str"/>
      <x:c r="AI76" s="12" t="str"/>
      <x:c r="AJ76" t="str">
        <x:f>XLOOKUP(C76,Sources!$A:$A,Sources!$J:$J,"Non")</x:f>
        <x:v>Non</x:v>
      </x:c>
      <x:c r="AK76" t="str">
        <x:f>XLOOKUP(C76,Sources!$A:$A,Sources!$K:$K,"À décider")</x:f>
        <x:v>À décider</x:v>
      </x:c>
      <x:c r="AL76" t="str">
        <x:f>XLOOKUP(C76,Sources!$A:$A,Sources!$L:$L,"Non")</x:f>
        <x:v>Non</x:v>
      </x:c>
      <x:c r="AM76" t="str">
        <x:f>XLOOKUP(C76,Sources!$A:$A,Sources!$M:$M,"Non")</x:f>
        <x:v>Non</x:v>
      </x:c>
      <x:c r="AN76" t="str">
        <x:f>XLOOKUP(C76,Sources!$A:$A,Sources!$N:$N,"À valider")</x:f>
        <x:v>À valider</x:v>
      </x:c>
    </x:row>
    <x:row r="77" ht="18" customHeight="1">
      <x:c r="A77" s="12" t="str">
        <x:v>STAB0076</x:v>
      </x:c>
      <x:c r="B77" s="12" t="str">
        <x:v>Céfotaxime</x:v>
      </x:c>
      <x:c r="C77" s="12" t="str">
        <x:v>SRC005</x:v>
      </x:c>
      <x:c r="D77" s="12" t="str">
        <x:v>Centre Léon Bérard – HAD</x:v>
      </x:c>
      <x:c r="E77" s="12" t="str">
        <x:v>Protocole local</x:v>
      </x:c>
      <x:c r="F77" s="12" t="str">
        <x:v>elastomere</x:v>
      </x:c>
      <x:c r="G77" s="12" t="str">
        <x:v>Diffuseur élastomère</x:v>
      </x:c>
      <x:c r="H77" s="12" t="str">
        <x:v>Perfusion IV continue en diffuseur élastomère ; 24 h ; abri lumière</x:v>
      </x:c>
      <x:c r="I77" s="12" t="str">
        <x:v>Oui</x:v>
      </x:c>
      <x:c r="J77" s="12" t="str">
        <x:v>Non</x:v>
      </x:c>
      <x:c r="K77" s="12" t="str">
        <x:v>NaCl 0,9 %</x:v>
      </x:c>
      <x:c r="L77" s="12"/>
      <x:c r="M77" s="12" t="n">
        <x:v>40</x:v>
      </x:c>
      <x:c r="N77" s="12" t="str">
        <x:v>mg/mL</x:v>
      </x:c>
      <x:c r="O77" s="12"/>
      <x:c r="P77" s="12"/>
      <x:c r="Q77" s="12"/>
      <x:c r="R77" s="12"/>
      <x:c r="S77" s="12" t="str"/>
      <x:c r="T77" s="12" t="n">
        <x:v>24</x:v>
      </x:c>
      <x:c r="U77" s="12"/>
      <x:c r="V77" s="12" t="str">
        <x:v>Oui</x:v>
      </x:c>
      <x:c r="W77" s="12" t="str"/>
      <x:c r="X77" s="12" t="str"/>
      <x:c r="Y77" s="12" t="str"/>
      <x:c r="Z77" s="12" t="str">
        <x:v>À compléter</x:v>
      </x:c>
      <x:c r="AA77" s="12" t="str">
        <x:v>Diffuseur élastomère 24 h possible</x:v>
      </x:c>
      <x:c r="AB77" s="12" t="str">
        <x:v>OK</x:v>
      </x:c>
      <x:c r="AC77" s="12" t="str">
        <x:v>À vérifier</x:v>
      </x:c>
      <x:c r="AD77" s="12" t="str"/>
      <x:c r="AE77" s="12" t="str"/>
      <x:c r="AF77" s="12" t="str">
        <x:v>NaCl 0,9 % ; diffuseur élastomère ; conc max 40 mg/mL ; stab 24 h ; abri lumière</x:v>
      </x:c>
      <x:c r="AG77" s="12" t="str">
        <x:v>Donnée Centre Léon Bérard – HAD.</x:v>
      </x:c>
      <x:c r="AH77" s="12" t="str"/>
      <x:c r="AI77" s="12" t="str"/>
      <x:c r="AJ77" t="str">
        <x:f>XLOOKUP(C77,Sources!$A:$A,Sources!$J:$J,"Non")</x:f>
        <x:v>Non</x:v>
      </x:c>
      <x:c r="AK77" t="str">
        <x:f>XLOOKUP(C77,Sources!$A:$A,Sources!$K:$K,"À décider")</x:f>
        <x:v>À décider</x:v>
      </x:c>
      <x:c r="AL77" t="str">
        <x:f>XLOOKUP(C77,Sources!$A:$A,Sources!$L:$L,"Non")</x:f>
        <x:v>Non</x:v>
      </x:c>
      <x:c r="AM77" t="str">
        <x:f>XLOOKUP(C77,Sources!$A:$A,Sources!$M:$M,"Non")</x:f>
        <x:v>Non</x:v>
      </x:c>
      <x:c r="AN77" t="str">
        <x:f>XLOOKUP(C77,Sources!$A:$A,Sources!$N:$N,"À valider")</x:f>
        <x:v>À valider</x:v>
      </x:c>
    </x:row>
    <x:row r="78" ht="18" customHeight="1">
      <x:c r="A78" s="12" t="str">
        <x:v>STAB0077</x:v>
      </x:c>
      <x:c r="B78" s="12" t="str">
        <x:v>Céfoxitine</x:v>
      </x:c>
      <x:c r="C78" s="12" t="str">
        <x:v>SRC005</x:v>
      </x:c>
      <x:c r="D78" s="12" t="str">
        <x:v>Centre Léon Bérard – HAD</x:v>
      </x:c>
      <x:c r="E78" s="12" t="str">
        <x:v>Protocole local</x:v>
      </x:c>
      <x:c r="F78" s="12" t="str">
        <x:v>elastomere</x:v>
      </x:c>
      <x:c r="G78" s="12" t="str">
        <x:v>Diffuseur élastomère</x:v>
      </x:c>
      <x:c r="H78" s="12" t="str">
        <x:v>Perfusion IV continue en diffuseur élastomère ; 24 h ; abri lumière</x:v>
      </x:c>
      <x:c r="I78" s="12" t="str">
        <x:v>Oui</x:v>
      </x:c>
      <x:c r="J78" s="12" t="str">
        <x:v>Non</x:v>
      </x:c>
      <x:c r="K78" s="12" t="str">
        <x:v>NaCl 0,9 %</x:v>
      </x:c>
      <x:c r="L78" s="12"/>
      <x:c r="M78" s="12" t="n">
        <x:v>40</x:v>
      </x:c>
      <x:c r="N78" s="12" t="str">
        <x:v>mg/mL</x:v>
      </x:c>
      <x:c r="O78" s="12"/>
      <x:c r="P78" s="12"/>
      <x:c r="Q78" s="12"/>
      <x:c r="R78" s="12"/>
      <x:c r="S78" s="12" t="str"/>
      <x:c r="T78" s="12" t="n">
        <x:v>24</x:v>
      </x:c>
      <x:c r="U78" s="12"/>
      <x:c r="V78" s="12" t="str">
        <x:v>Oui</x:v>
      </x:c>
      <x:c r="W78" s="12" t="str"/>
      <x:c r="X78" s="12" t="str"/>
      <x:c r="Y78" s="12" t="str"/>
      <x:c r="Z78" s="12" t="str">
        <x:v>À compléter</x:v>
      </x:c>
      <x:c r="AA78" s="12" t="str">
        <x:v>Diffuseur élastomère 24 h possible</x:v>
      </x:c>
      <x:c r="AB78" s="12" t="str">
        <x:v>OK</x:v>
      </x:c>
      <x:c r="AC78" s="12" t="str">
        <x:v>À vérifier</x:v>
      </x:c>
      <x:c r="AD78" s="12" t="str"/>
      <x:c r="AE78" s="12" t="str"/>
      <x:c r="AF78" s="12" t="str">
        <x:v>NaCl 0,9 % ; diffuseur élastomère ; conc max 40 mg/mL ; stab 24 h ; abri lumière</x:v>
      </x:c>
      <x:c r="AG78" s="12" t="str">
        <x:v>Donnée Centre Léon Bérard – HAD.</x:v>
      </x:c>
      <x:c r="AH78" s="12" t="str"/>
      <x:c r="AI78" s="12" t="str"/>
      <x:c r="AJ78" t="str">
        <x:f>XLOOKUP(C78,Sources!$A:$A,Sources!$J:$J,"Non")</x:f>
        <x:v>Non</x:v>
      </x:c>
      <x:c r="AK78" t="str">
        <x:f>XLOOKUP(C78,Sources!$A:$A,Sources!$K:$K,"À décider")</x:f>
        <x:v>À décider</x:v>
      </x:c>
      <x:c r="AL78" t="str">
        <x:f>XLOOKUP(C78,Sources!$A:$A,Sources!$L:$L,"Non")</x:f>
        <x:v>Non</x:v>
      </x:c>
      <x:c r="AM78" t="str">
        <x:f>XLOOKUP(C78,Sources!$A:$A,Sources!$M:$M,"Non")</x:f>
        <x:v>Non</x:v>
      </x:c>
      <x:c r="AN78" t="str">
        <x:f>XLOOKUP(C78,Sources!$A:$A,Sources!$N:$N,"À valider")</x:f>
        <x:v>À valider</x:v>
      </x:c>
    </x:row>
    <x:row r="79" ht="18" customHeight="1">
      <x:c r="A79" s="12" t="str">
        <x:v>STAB0078</x:v>
      </x:c>
      <x:c r="B79" s="12" t="str">
        <x:v>Ceftazidime</x:v>
      </x:c>
      <x:c r="C79" s="12" t="str">
        <x:v>SRC005</x:v>
      </x:c>
      <x:c r="D79" s="12" t="str">
        <x:v>Centre Léon Bérard – HAD</x:v>
      </x:c>
      <x:c r="E79" s="12" t="str">
        <x:v>Protocole local</x:v>
      </x:c>
      <x:c r="F79" s="12" t="str">
        <x:v>elastomere</x:v>
      </x:c>
      <x:c r="G79" s="12" t="str">
        <x:v>Diffuseur élastomère</x:v>
      </x:c>
      <x:c r="H79" s="12" t="str">
        <x:v>Perfusion IV continue en diffuseur élastomère ; durée selon dose ; abri lumière</x:v>
      </x:c>
      <x:c r="I79" s="12" t="str">
        <x:v>Oui</x:v>
      </x:c>
      <x:c r="J79" s="12" t="str">
        <x:v>Non</x:v>
      </x:c>
      <x:c r="K79" s="12" t="str">
        <x:v>NaCl 0,9 %</x:v>
      </x:c>
      <x:c r="L79" s="12"/>
      <x:c r="M79" s="12" t="n">
        <x:v>40</x:v>
      </x:c>
      <x:c r="N79" s="12" t="str">
        <x:v>mg/mL</x:v>
      </x:c>
      <x:c r="O79" s="12"/>
      <x:c r="P79" s="12"/>
      <x:c r="Q79" s="12"/>
      <x:c r="R79" s="12"/>
      <x:c r="S79" s="12" t="str"/>
      <x:c r="T79" s="12" t="n">
        <x:v>24</x:v>
      </x:c>
      <x:c r="U79" s="12"/>
      <x:c r="V79" s="12" t="str">
        <x:v>Oui</x:v>
      </x:c>
      <x:c r="W79" s="12" t="str"/>
      <x:c r="X79" s="12" t="str"/>
      <x:c r="Y79" s="12" t="str"/>
      <x:c r="Z79" s="12" t="str">
        <x:v>À compléter</x:v>
      </x:c>
      <x:c r="AA79" s="12" t="str">
        <x:v>Diffuseur élastomère 12–24 h selon dose</x:v>
      </x:c>
      <x:c r="AB79" s="12" t="str">
        <x:v>Vigilance</x:v>
      </x:c>
      <x:c r="AC79" s="12" t="str">
        <x:v>À vérifier</x:v>
      </x:c>
      <x:c r="AD79" s="12" t="str"/>
      <x:c r="AE79" s="12" t="str"/>
      <x:c r="AF79" s="12" t="str">
        <x:v>NaCl 0,9 % ; diffuseur élastomère ; conc max 40 mg/mL ; si dose &lt;6 g : stab 24 h ; si dose ≥6 g : changement q12 h ; abri lumière</x:v>
      </x:c>
      <x:c r="AG79" s="12" t="str">
        <x:v>Attention température &gt;25°C et produits de dégradation.</x:v>
      </x:c>
      <x:c r="AH79" s="12" t="str"/>
      <x:c r="AI79" s="12" t="str"/>
      <x:c r="AJ79" t="str">
        <x:f>XLOOKUP(C79,Sources!$A:$A,Sources!$J:$J,"Non")</x:f>
        <x:v>Non</x:v>
      </x:c>
      <x:c r="AK79" t="str">
        <x:f>XLOOKUP(C79,Sources!$A:$A,Sources!$K:$K,"À décider")</x:f>
        <x:v>À décider</x:v>
      </x:c>
      <x:c r="AL79" t="str">
        <x:f>XLOOKUP(C79,Sources!$A:$A,Sources!$L:$L,"Non")</x:f>
        <x:v>Non</x:v>
      </x:c>
      <x:c r="AM79" t="str">
        <x:f>XLOOKUP(C79,Sources!$A:$A,Sources!$M:$M,"Non")</x:f>
        <x:v>Non</x:v>
      </x:c>
      <x:c r="AN79" t="str">
        <x:f>XLOOKUP(C79,Sources!$A:$A,Sources!$N:$N,"À valider")</x:f>
        <x:v>À valider</x:v>
      </x:c>
    </x:row>
    <x:row r="80" ht="18" customHeight="1">
      <x:c r="A80" s="12" t="str">
        <x:v>STAB0079</x:v>
      </x:c>
      <x:c r="B80" s="12" t="str">
        <x:v>Aciclovir</x:v>
      </x:c>
      <x:c r="C80" s="12" t="str">
        <x:v>SRC011</x:v>
      </x:c>
      <x:c r="D80" s="12" t="str">
        <x:v>NEOPUMP – données internes fabricant élastomère</x:v>
      </x:c>
      <x:c r="E80" s="12" t="str">
        <x:v>Protocole local</x:v>
      </x:c>
      <x:c r="F80" s="12" t="str">
        <x:v>elastomere</x:v>
      </x:c>
      <x:c r="G80" s="12" t="str">
        <x:v>Diffuseur élastomère</x:v>
      </x:c>
      <x:c r="H80" s="12" t="str">
        <x:v>Diffuseur élastomère Easyflow/NEOPUMP ; données internes fabricant </x:v>
      </x:c>
      <x:c r="I80" s="12" t="str">
        <x:v>Oui</x:v>
      </x:c>
      <x:c r="J80" s="12" t="str">
        <x:v>Non</x:v>
      </x:c>
      <x:c r="K80" s="12" t="str">
        <x:v>NaCl 0,9 %</x:v>
      </x:c>
      <x:c r="L80" s="12"/>
      <x:c r="M80" s="12" t="n">
        <x:v>10</x:v>
      </x:c>
      <x:c r="N80" s="12" t="str">
        <x:v>mg/mL</x:v>
      </x:c>
      <x:c r="O80" s="12"/>
      <x:c r="P80" s="12"/>
      <x:c r="Q80" s="12" t="n">
        <x:v>25</x:v>
      </x:c>
      <x:c r="R80" s="12" t="n">
        <x:v>32</x:v>
      </x:c>
      <x:c r="S80" s="12" t="str">
        <x:v>25°C, 32°C</x:v>
      </x:c>
      <x:c r="T80" s="12" t="n">
        <x:v>24</x:v>
      </x:c>
      <x:c r="U80" s="12"/>
      <x:c r="V80" s="12" t="str"/>
      <x:c r="W80" s="12" t="str"/>
      <x:c r="X80" s="12" t="str"/>
      <x:c r="Y80" s="12" t="str"/>
      <x:c r="Z80" s="12" t="str">
        <x:v>À compléter</x:v>
      </x:c>
      <x:c r="AA80" s="12" t="str">
        <x:v>NEOPUMP élastomère 24 h</x:v>
      </x:c>
      <x:c r="AB80" s="12" t="str">
        <x:v>OK</x:v>
      </x:c>
      <x:c r="AC80" s="12" t="str">
        <x:v>À vérifier</x:v>
      </x:c>
      <x:c r="AD80" s="12" t="str"/>
      <x:c r="AE80" s="12" t="str"/>
      <x:c r="AF80" s="12" t="str">
        <x:v>NaCl 0,9 % ; conc 10 mg/mL (1 g/100 mL) ; stab 24 h à 25°C et 32°C</x:v>
      </x:c>
      <x:c r="AG80" s="12" t="str">
        <x:v>Donnée spécifique diffuseur élastomère NEOPUMP/Easyflow.</x:v>
      </x:c>
      <x:c r="AH80" s="12" t="str"/>
      <x:c r="AI80" s="12" t="str"/>
      <x:c r="AJ80" t="str">
        <x:f>XLOOKUP(C80,Sources!$A:$A,Sources!$J:$J,"Non")</x:f>
        <x:v>Non</x:v>
      </x:c>
      <x:c r="AK80" t="str">
        <x:f>XLOOKUP(C80,Sources!$A:$A,Sources!$K:$K,"À décider")</x:f>
        <x:v>À décider</x:v>
      </x:c>
      <x:c r="AL80" t="str">
        <x:f>XLOOKUP(C80,Sources!$A:$A,Sources!$L:$L,"Non")</x:f>
        <x:v>Non</x:v>
      </x:c>
      <x:c r="AM80" t="str">
        <x:f>XLOOKUP(C80,Sources!$A:$A,Sources!$M:$M,"Non")</x:f>
        <x:v>Non</x:v>
      </x:c>
      <x:c r="AN80" t="str">
        <x:f>XLOOKUP(C80,Sources!$A:$A,Sources!$N:$N,"À valider")</x:f>
        <x:v>À valider</x:v>
      </x:c>
    </x:row>
    <x:row r="81" ht="18" customHeight="1">
      <x:c r="A81" s="12" t="str">
        <x:v>STAB0080</x:v>
      </x:c>
      <x:c r="B81" s="12" t="str">
        <x:v>Amikacine</x:v>
      </x:c>
      <x:c r="C81" s="12" t="str">
        <x:v>SRC011</x:v>
      </x:c>
      <x:c r="D81" s="12" t="str">
        <x:v>NEOPUMP – données internes fabricant élastomère</x:v>
      </x:c>
      <x:c r="E81" s="12" t="str">
        <x:v>Protocole local</x:v>
      </x:c>
      <x:c r="F81" s="12" t="str">
        <x:v>elastomere</x:v>
      </x:c>
      <x:c r="G81" s="12" t="str">
        <x:v>Diffuseur élastomère</x:v>
      </x:c>
      <x:c r="H81" s="12" t="str">
        <x:v>Diffuseur élastomère Easyflow/NEOPUMP ; données internes fabricant </x:v>
      </x:c>
      <x:c r="I81" s="12" t="str">
        <x:v>Oui</x:v>
      </x:c>
      <x:c r="J81" s="12" t="str">
        <x:v>Non</x:v>
      </x:c>
      <x:c r="K81" s="12" t="str">
        <x:v>NaCl 0,9 %</x:v>
      </x:c>
      <x:c r="L81" s="12"/>
      <x:c r="M81" s="12" t="n">
        <x:v>2</x:v>
      </x:c>
      <x:c r="N81" s="12" t="str">
        <x:v>mg/mL</x:v>
      </x:c>
      <x:c r="O81" s="12"/>
      <x:c r="P81" s="12"/>
      <x:c r="Q81" s="12" t="n">
        <x:v>25</x:v>
      </x:c>
      <x:c r="R81" s="12" t="n">
        <x:v>32</x:v>
      </x:c>
      <x:c r="S81" s="12" t="str">
        <x:v>25°C, 32°C</x:v>
      </x:c>
      <x:c r="T81" s="12" t="n">
        <x:v>24</x:v>
      </x:c>
      <x:c r="U81" s="12"/>
      <x:c r="V81" s="12" t="str"/>
      <x:c r="W81" s="12" t="str"/>
      <x:c r="X81" s="12" t="str"/>
      <x:c r="Y81" s="12" t="str"/>
      <x:c r="Z81" s="12" t="str">
        <x:v>À compléter</x:v>
      </x:c>
      <x:c r="AA81" s="12" t="str">
        <x:v>NEOPUMP élastomère 24 h physicochimique</x:v>
      </x:c>
      <x:c r="AB81" s="12" t="str">
        <x:v>OK</x:v>
      </x:c>
      <x:c r="AC81" s="12" t="str">
        <x:v>À vérifier</x:v>
      </x:c>
      <x:c r="AD81" s="12" t="str"/>
      <x:c r="AE81" s="12" t="str"/>
      <x:c r="AF81" s="12" t="str">
        <x:v>NaCl 0,9 % ; conc 2 mg/mL (0,5 g/240 mL) et 5 mg/mL (0,5 g/100 mL) ; stab 24 h à 25°C et 32°C</x:v>
      </x:c>
      <x:c r="AG81" s="12" t="str">
        <x:v>Stabilité physicochimique ≠ recommandation clinique de perfusion continue pour aminoside.</x:v>
      </x:c>
      <x:c r="AH81" s="12" t="str"/>
      <x:c r="AI81" s="12" t="str"/>
      <x:c r="AJ81" t="str">
        <x:f>XLOOKUP(C81,Sources!$A:$A,Sources!$J:$J,"Non")</x:f>
        <x:v>Non</x:v>
      </x:c>
      <x:c r="AK81" t="str">
        <x:f>XLOOKUP(C81,Sources!$A:$A,Sources!$K:$K,"À décider")</x:f>
        <x:v>À décider</x:v>
      </x:c>
      <x:c r="AL81" t="str">
        <x:f>XLOOKUP(C81,Sources!$A:$A,Sources!$L:$L,"Non")</x:f>
        <x:v>Non</x:v>
      </x:c>
      <x:c r="AM81" t="str">
        <x:f>XLOOKUP(C81,Sources!$A:$A,Sources!$M:$M,"Non")</x:f>
        <x:v>Non</x:v>
      </x:c>
      <x:c r="AN81" t="str">
        <x:f>XLOOKUP(C81,Sources!$A:$A,Sources!$N:$N,"À valider")</x:f>
        <x:v>À valider</x:v>
      </x:c>
    </x:row>
    <x:row r="82" ht="18" customHeight="1">
      <x:c r="A82" s="12" t="str">
        <x:v>STAB0081</x:v>
      </x:c>
      <x:c r="B82" s="12" t="str">
        <x:v>Amoxicilline</x:v>
      </x:c>
      <x:c r="C82" s="12" t="str">
        <x:v>SRC011</x:v>
      </x:c>
      <x:c r="D82" s="12" t="str">
        <x:v>NEOPUMP – données internes fabricant élastomère</x:v>
      </x:c>
      <x:c r="E82" s="12" t="str">
        <x:v>Protocole local</x:v>
      </x:c>
      <x:c r="F82" s="12" t="str">
        <x:v>elastomere</x:v>
      </x:c>
      <x:c r="G82" s="12" t="str">
        <x:v>Diffuseur élastomère</x:v>
      </x:c>
      <x:c r="H82" s="12" t="str">
        <x:v>Diffuseur élastomère Easyflow/NEOPUMP ; données internes fabricant </x:v>
      </x:c>
      <x:c r="I82" s="12" t="str">
        <x:v>Oui</x:v>
      </x:c>
      <x:c r="J82" s="12" t="str">
        <x:v>Non</x:v>
      </x:c>
      <x:c r="K82" s="12" t="str">
        <x:v>NaCl 0,9 %</x:v>
      </x:c>
      <x:c r="L82" s="12"/>
      <x:c r="M82" s="12" t="n">
        <x:v>10</x:v>
      </x:c>
      <x:c r="N82" s="12" t="str">
        <x:v>mg/mL</x:v>
      </x:c>
      <x:c r="O82" s="12"/>
      <x:c r="P82" s="12"/>
      <x:c r="Q82" s="12" t="n">
        <x:v>25</x:v>
      </x:c>
      <x:c r="R82" s="12" t="n">
        <x:v>32</x:v>
      </x:c>
      <x:c r="S82" s="12" t="str">
        <x:v>25°C, 32°C</x:v>
      </x:c>
      <x:c r="T82" s="12" t="n">
        <x:v>24</x:v>
      </x:c>
      <x:c r="U82" s="12"/>
      <x:c r="V82" s="12" t="str"/>
      <x:c r="W82" s="12" t="str"/>
      <x:c r="X82" s="12" t="str"/>
      <x:c r="Y82" s="12" t="str"/>
      <x:c r="Z82" s="12" t="str">
        <x:v>À compléter</x:v>
      </x:c>
      <x:c r="AA82" s="12" t="str">
        <x:v>NEOPUMP : 24 h si 10 mg/mL ; 6 h si 20 mg/mL</x:v>
      </x:c>
      <x:c r="AB82" s="12" t="str">
        <x:v>Vigilance</x:v>
      </x:c>
      <x:c r="AC82" s="12" t="str">
        <x:v>À vérifier</x:v>
      </x:c>
      <x:c r="AD82" s="12" t="str"/>
      <x:c r="AE82" s="12" t="str"/>
      <x:c r="AF82" s="12" t="str">
        <x:v>NaCl 0,9 % ; conc 10 mg/mL (2,4 g/240 mL) : stab 24 h à 25°C et 32°C ; conc 20 mg/mL (4,9 g/240 mL) : stab 6 h à 25°C et 32°C</x:v>
      </x:c>
      <x:c r="AG82" s="12" t="str">
        <x:v>Forte dépendance à la concentration.</x:v>
      </x:c>
      <x:c r="AH82" s="12" t="str"/>
      <x:c r="AI82" s="12" t="str"/>
      <x:c r="AJ82" t="str">
        <x:f>XLOOKUP(C82,Sources!$A:$A,Sources!$J:$J,"Non")</x:f>
        <x:v>Non</x:v>
      </x:c>
      <x:c r="AK82" t="str">
        <x:f>XLOOKUP(C82,Sources!$A:$A,Sources!$K:$K,"À décider")</x:f>
        <x:v>À décider</x:v>
      </x:c>
      <x:c r="AL82" t="str">
        <x:f>XLOOKUP(C82,Sources!$A:$A,Sources!$L:$L,"Non")</x:f>
        <x:v>Non</x:v>
      </x:c>
      <x:c r="AM82" t="str">
        <x:f>XLOOKUP(C82,Sources!$A:$A,Sources!$M:$M,"Non")</x:f>
        <x:v>Non</x:v>
      </x:c>
      <x:c r="AN82" t="str">
        <x:f>XLOOKUP(C82,Sources!$A:$A,Sources!$N:$N,"À valider")</x:f>
        <x:v>À valider</x:v>
      </x:c>
    </x:row>
    <x:row r="83" ht="18" customHeight="1">
      <x:c r="A83" s="12" t="str">
        <x:v>STAB0082</x:v>
      </x:c>
      <x:c r="B83" s="12" t="str">
        <x:v>Amoxicilline/acide clavulanique</x:v>
      </x:c>
      <x:c r="C83" s="12" t="str">
        <x:v>SRC011</x:v>
      </x:c>
      <x:c r="D83" s="12" t="str">
        <x:v>NEOPUMP – données internes fabricant élastomère</x:v>
      </x:c>
      <x:c r="E83" s="12" t="str">
        <x:v>Protocole local</x:v>
      </x:c>
      <x:c r="F83" s="12" t="str">
        <x:v>elastomere</x:v>
      </x:c>
      <x:c r="G83" s="12" t="str">
        <x:v>Diffuseur élastomère</x:v>
      </x:c>
      <x:c r="H83" s="12" t="str">
        <x:v>Diffuseur élastomère Easyflow/NEOPUMP ; données internes fabricant </x:v>
      </x:c>
      <x:c r="I83" s="12" t="str">
        <x:v>Oui</x:v>
      </x:c>
      <x:c r="J83" s="12" t="str">
        <x:v>Non</x:v>
      </x:c>
      <x:c r="K83" s="12" t="str">
        <x:v>NaCl 0,9 % / G5</x:v>
      </x:c>
      <x:c r="L83" s="12"/>
      <x:c r="M83" s="12" t="n">
        <x:v>10</x:v>
      </x:c>
      <x:c r="N83" s="12" t="str">
        <x:v>mg/mL</x:v>
      </x:c>
      <x:c r="O83" s="12"/>
      <x:c r="P83" s="12"/>
      <x:c r="Q83" s="12" t="n">
        <x:v>4</x:v>
      </x:c>
      <x:c r="R83" s="12" t="n">
        <x:v>32</x:v>
      </x:c>
      <x:c r="S83" s="12" t="str">
        <x:v>4°C, 25°C, 32°C</x:v>
      </x:c>
      <x:c r="T83" s="12" t="n">
        <x:v>24</x:v>
      </x:c>
      <x:c r="U83" s="12"/>
      <x:c r="V83" s="12" t="str"/>
      <x:c r="W83" s="12" t="str"/>
      <x:c r="X83" s="12" t="str"/>
      <x:c r="Y83" s="12" t="str"/>
      <x:c r="Z83" s="12" t="str">
        <x:v>À compléter</x:v>
      </x:c>
      <x:c r="AA83" s="12" t="str">
        <x:v>NEOPUMP : 12 h à 25°C ; pas 24 h RT</x:v>
      </x:c>
      <x:c r="AB83" s="12" t="str">
        <x:v>Critique</x:v>
      </x:c>
      <x:c r="AC83" s="12" t="str">
        <x:v>À vérifier</x:v>
      </x:c>
      <x:c r="AD83" s="12" t="str"/>
      <x:c r="AE83" s="12" t="str"/>
      <x:c r="AF83" s="12" t="str">
        <x:v>NaCl 0,9 % exclusivement ; conc 10 mg/mL : stab 24 h à 4°C, 12 h à 25°C ; conc 12 mg/mL : stab 24 h à 4°C, 12 h à 25°C ; pas de donnée 32°C ; G5 contre-indiqué/incompatible</x:v>
      </x:c>
      <x:c r="AG83" s="12" t="str">
        <x:v>Discordant avec la recommandation pratique de ne pas utiliser en continu prolongé ; donnée fabricant à contextualiser.</x:v>
      </x:c>
      <x:c r="AH83" s="12" t="str"/>
      <x:c r="AI83" s="12" t="str"/>
      <x:c r="AJ83" t="str">
        <x:f>XLOOKUP(C83,Sources!$A:$A,Sources!$J:$J,"Non")</x:f>
        <x:v>Non</x:v>
      </x:c>
      <x:c r="AK83" t="str">
        <x:f>XLOOKUP(C83,Sources!$A:$A,Sources!$K:$K,"À décider")</x:f>
        <x:v>À décider</x:v>
      </x:c>
      <x:c r="AL83" t="str">
        <x:f>XLOOKUP(C83,Sources!$A:$A,Sources!$L:$L,"Non")</x:f>
        <x:v>Non</x:v>
      </x:c>
      <x:c r="AM83" t="str">
        <x:f>XLOOKUP(C83,Sources!$A:$A,Sources!$M:$M,"Non")</x:f>
        <x:v>Non</x:v>
      </x:c>
      <x:c r="AN83" t="str">
        <x:f>XLOOKUP(C83,Sources!$A:$A,Sources!$N:$N,"À valider")</x:f>
        <x:v>À valider</x:v>
      </x:c>
    </x:row>
    <x:row r="84" ht="18" customHeight="1">
      <x:c r="A84" s="12" t="str">
        <x:v>STAB0083</x:v>
      </x:c>
      <x:c r="B84" s="12" t="str">
        <x:v>Ampicilline</x:v>
      </x:c>
      <x:c r="C84" s="12" t="str">
        <x:v>SRC011</x:v>
      </x:c>
      <x:c r="D84" s="12" t="str">
        <x:v>NEOPUMP – données internes fabricant élastomère</x:v>
      </x:c>
      <x:c r="E84" s="12" t="str">
        <x:v>Protocole local</x:v>
      </x:c>
      <x:c r="F84" s="12" t="str">
        <x:v>elastomere</x:v>
      </x:c>
      <x:c r="G84" s="12" t="str">
        <x:v>Diffuseur élastomère</x:v>
      </x:c>
      <x:c r="H84" s="12" t="str">
        <x:v>Diffuseur élastomère Easyflow/NEOPUMP ; données internes fabricant </x:v>
      </x:c>
      <x:c r="I84" s="12" t="str">
        <x:v>Oui</x:v>
      </x:c>
      <x:c r="J84" s="12" t="str">
        <x:v>Non</x:v>
      </x:c>
      <x:c r="K84" s="12" t="str">
        <x:v>NaCl 0,9 %</x:v>
      </x:c>
      <x:c r="L84" s="12"/>
      <x:c r="M84" s="12" t="n">
        <x:v>5</x:v>
      </x:c>
      <x:c r="N84" s="12" t="str">
        <x:v>mg/mL</x:v>
      </x:c>
      <x:c r="O84" s="12"/>
      <x:c r="P84" s="12"/>
      <x:c r="Q84" s="12" t="n">
        <x:v>4</x:v>
      </x:c>
      <x:c r="R84" s="12" t="n">
        <x:v>32</x:v>
      </x:c>
      <x:c r="S84" s="12" t="str">
        <x:v>4°C, 25°C, 32°C</x:v>
      </x:c>
      <x:c r="T84" s="12" t="n">
        <x:v>24</x:v>
      </x:c>
      <x:c r="U84" s="12"/>
      <x:c r="V84" s="12" t="str"/>
      <x:c r="W84" s="12" t="str"/>
      <x:c r="X84" s="12" t="str"/>
      <x:c r="Y84" s="12" t="str"/>
      <x:c r="Z84" s="12" t="str">
        <x:v>À compléter</x:v>
      </x:c>
      <x:c r="AA84" s="12" t="str">
        <x:v>NEOPUMP élastomère 24 h</x:v>
      </x:c>
      <x:c r="AB84" s="12" t="str">
        <x:v>OK</x:v>
      </x:c>
      <x:c r="AC84" s="12" t="str">
        <x:v>À vérifier</x:v>
      </x:c>
      <x:c r="AD84" s="12" t="str"/>
      <x:c r="AE84" s="12" t="str"/>
      <x:c r="AF84" s="12" t="str">
        <x:v>NaCl 0,9 % ; conc 5 mg/mL (0,5 g/100 mL) et 20 mg/mL (5 g/240 mL) ; stab 24 h à 4°C, 25°C et 32°C</x:v>
      </x:c>
      <x:c r="AG84" s="12" t="str">
        <x:v>Donnée spécifique diffuseur élastomère.</x:v>
      </x:c>
      <x:c r="AH84" s="12" t="str"/>
      <x:c r="AI84" s="12" t="str"/>
      <x:c r="AJ84" t="str">
        <x:f>XLOOKUP(C84,Sources!$A:$A,Sources!$J:$J,"Non")</x:f>
        <x:v>Non</x:v>
      </x:c>
      <x:c r="AK84" t="str">
        <x:f>XLOOKUP(C84,Sources!$A:$A,Sources!$K:$K,"À décider")</x:f>
        <x:v>À décider</x:v>
      </x:c>
      <x:c r="AL84" t="str">
        <x:f>XLOOKUP(C84,Sources!$A:$A,Sources!$L:$L,"Non")</x:f>
        <x:v>Non</x:v>
      </x:c>
      <x:c r="AM84" t="str">
        <x:f>XLOOKUP(C84,Sources!$A:$A,Sources!$M:$M,"Non")</x:f>
        <x:v>Non</x:v>
      </x:c>
      <x:c r="AN84" t="str">
        <x:f>XLOOKUP(C84,Sources!$A:$A,Sources!$N:$N,"À valider")</x:f>
        <x:v>À valider</x:v>
      </x:c>
    </x:row>
    <x:row r="85" ht="18" customHeight="1">
      <x:c r="A85" s="12" t="str">
        <x:v>STAB0084</x:v>
      </x:c>
      <x:c r="B85" s="12" t="str">
        <x:v>Céfazoline</x:v>
      </x:c>
      <x:c r="C85" s="12" t="str">
        <x:v>SRC011</x:v>
      </x:c>
      <x:c r="D85" s="12" t="str">
        <x:v>NEOPUMP – données internes fabricant élastomère</x:v>
      </x:c>
      <x:c r="E85" s="12" t="str">
        <x:v>Protocole local</x:v>
      </x:c>
      <x:c r="F85" s="12" t="str">
        <x:v>elastomere</x:v>
      </x:c>
      <x:c r="G85" s="12" t="str">
        <x:v>Diffuseur élastomère</x:v>
      </x:c>
      <x:c r="H85" s="12" t="str">
        <x:v>Diffuseur élastomère Easyflow/NEOPUMP ; données internes fabricant </x:v>
      </x:c>
      <x:c r="I85" s="12" t="str">
        <x:v>Oui</x:v>
      </x:c>
      <x:c r="J85" s="12" t="str">
        <x:v>Non</x:v>
      </x:c>
      <x:c r="K85" s="12" t="str">
        <x:v>NaCl 0,9 %</x:v>
      </x:c>
      <x:c r="L85" s="12"/>
      <x:c r="M85" s="12" t="n">
        <x:v>1</x:v>
      </x:c>
      <x:c r="N85" s="12" t="str">
        <x:v>mg/mL</x:v>
      </x:c>
      <x:c r="O85" s="12"/>
      <x:c r="P85" s="12"/>
      <x:c r="Q85" s="12" t="n">
        <x:v>4</x:v>
      </x:c>
      <x:c r="R85" s="12" t="n">
        <x:v>32</x:v>
      </x:c>
      <x:c r="S85" s="12" t="str">
        <x:v>4°C, 25°C, 32°C</x:v>
      </x:c>
      <x:c r="T85" s="12" t="n">
        <x:v>168</x:v>
      </x:c>
      <x:c r="U85" s="12"/>
      <x:c r="V85" s="12" t="str"/>
      <x:c r="W85" s="12" t="str"/>
      <x:c r="X85" s="12" t="str"/>
      <x:c r="Y85" s="12" t="str"/>
      <x:c r="Z85" s="12" t="str">
        <x:v>À compléter</x:v>
      </x:c>
      <x:c r="AA85" s="12" t="str">
        <x:v>NEOPUMP élastomère 24 h</x:v>
      </x:c>
      <x:c r="AB85" s="12" t="str">
        <x:v>OK</x:v>
      </x:c>
      <x:c r="AC85" s="12" t="str">
        <x:v>À vérifier</x:v>
      </x:c>
      <x:c r="AD85" s="12" t="str"/>
      <x:c r="AE85" s="12" t="str"/>
      <x:c r="AF85" s="12" t="str">
        <x:v>NaCl 0,9 % ; conc 1 mg/mL, 2 mg/mL et 25 mg/mL (6 g/240 mL) ; stab 24 h à 25°C et 32°C ; à 25 mg/mL : 7 j à 4°C</x:v>
      </x:c>
      <x:c r="AG85" s="12" t="str">
        <x:v>Donnée spécifique diffuseur élastomère.</x:v>
      </x:c>
      <x:c r="AH85" s="12" t="str"/>
      <x:c r="AI85" s="12" t="str"/>
      <x:c r="AJ85" t="str">
        <x:f>XLOOKUP(C85,Sources!$A:$A,Sources!$J:$J,"Non")</x:f>
        <x:v>Non</x:v>
      </x:c>
      <x:c r="AK85" t="str">
        <x:f>XLOOKUP(C85,Sources!$A:$A,Sources!$K:$K,"À décider")</x:f>
        <x:v>À décider</x:v>
      </x:c>
      <x:c r="AL85" t="str">
        <x:f>XLOOKUP(C85,Sources!$A:$A,Sources!$L:$L,"Non")</x:f>
        <x:v>Non</x:v>
      </x:c>
      <x:c r="AM85" t="str">
        <x:f>XLOOKUP(C85,Sources!$A:$A,Sources!$M:$M,"Non")</x:f>
        <x:v>Non</x:v>
      </x:c>
      <x:c r="AN85" t="str">
        <x:f>XLOOKUP(C85,Sources!$A:$A,Sources!$N:$N,"À valider")</x:f>
        <x:v>À valider</x:v>
      </x:c>
    </x:row>
    <x:row r="86" ht="18" customHeight="1">
      <x:c r="A86" s="12" t="str">
        <x:v>STAB0085</x:v>
      </x:c>
      <x:c r="B86" s="12" t="str">
        <x:v>Céfépime</x:v>
      </x:c>
      <x:c r="C86" s="12" t="str">
        <x:v>SRC011</x:v>
      </x:c>
      <x:c r="D86" s="12" t="str">
        <x:v>NEOPUMP – données internes fabricant élastomère</x:v>
      </x:c>
      <x:c r="E86" s="12" t="str">
        <x:v>Protocole local</x:v>
      </x:c>
      <x:c r="F86" s="12" t="str">
        <x:v>elastomere</x:v>
      </x:c>
      <x:c r="G86" s="12" t="str">
        <x:v>Diffuseur élastomère</x:v>
      </x:c>
      <x:c r="H86" s="12" t="str">
        <x:v>Diffuseur élastomère Easyflow/NEOPUMP ; données internes fabricant </x:v>
      </x:c>
      <x:c r="I86" s="12" t="str">
        <x:v>Oui</x:v>
      </x:c>
      <x:c r="J86" s="12" t="str">
        <x:v>Non</x:v>
      </x:c>
      <x:c r="K86" s="12" t="str">
        <x:v>NaCl 0,9 %</x:v>
      </x:c>
      <x:c r="L86" s="12"/>
      <x:c r="M86" s="12" t="n">
        <x:v>20</x:v>
      </x:c>
      <x:c r="N86" s="12" t="str">
        <x:v>mg/mL</x:v>
      </x:c>
      <x:c r="O86" s="12"/>
      <x:c r="P86" s="12"/>
      <x:c r="Q86" s="12" t="n">
        <x:v>4</x:v>
      </x:c>
      <x:c r="R86" s="12" t="n">
        <x:v>32</x:v>
      </x:c>
      <x:c r="S86" s="12" t="str">
        <x:v>4°C, 25°C, 32°C</x:v>
      </x:c>
      <x:c r="T86" s="12" t="n">
        <x:v>168</x:v>
      </x:c>
      <x:c r="U86" s="12"/>
      <x:c r="V86" s="12" t="str"/>
      <x:c r="W86" s="12" t="str"/>
      <x:c r="X86" s="12" t="str"/>
      <x:c r="Y86" s="12" t="str"/>
      <x:c r="Z86" s="12" t="str">
        <x:v>À compléter</x:v>
      </x:c>
      <x:c r="AA86" s="12" t="str">
        <x:v>NEOPUMP élastomère 24 h</x:v>
      </x:c>
      <x:c r="AB86" s="12" t="str">
        <x:v>OK</x:v>
      </x:c>
      <x:c r="AC86" s="12" t="str">
        <x:v>À vérifier</x:v>
      </x:c>
      <x:c r="AD86" s="12" t="str"/>
      <x:c r="AE86" s="12" t="str"/>
      <x:c r="AF86" s="12" t="str">
        <x:v>NaCl 0,9 % ; conc 20 mg/mL (2 g/100 mL) ; stab 7 j à 4°C ; 24 h à 25°C et 32°C</x:v>
      </x:c>
      <x:c r="AG86" s="12" t="str">
        <x:v>Donnée spécifique diffuseur élastomère.</x:v>
      </x:c>
      <x:c r="AH86" s="12" t="str"/>
      <x:c r="AI86" s="12" t="str"/>
      <x:c r="AJ86" t="str">
        <x:f>XLOOKUP(C86,Sources!$A:$A,Sources!$J:$J,"Non")</x:f>
        <x:v>Non</x:v>
      </x:c>
      <x:c r="AK86" t="str">
        <x:f>XLOOKUP(C86,Sources!$A:$A,Sources!$K:$K,"À décider")</x:f>
        <x:v>À décider</x:v>
      </x:c>
      <x:c r="AL86" t="str">
        <x:f>XLOOKUP(C86,Sources!$A:$A,Sources!$L:$L,"Non")</x:f>
        <x:v>Non</x:v>
      </x:c>
      <x:c r="AM86" t="str">
        <x:f>XLOOKUP(C86,Sources!$A:$A,Sources!$M:$M,"Non")</x:f>
        <x:v>Non</x:v>
      </x:c>
      <x:c r="AN86" t="str">
        <x:f>XLOOKUP(C86,Sources!$A:$A,Sources!$N:$N,"À valider")</x:f>
        <x:v>À valider</x:v>
      </x:c>
    </x:row>
    <x:row r="87" ht="18" customHeight="1">
      <x:c r="A87" s="12" t="str">
        <x:v>STAB0086</x:v>
      </x:c>
      <x:c r="B87" s="12" t="str">
        <x:v>Céfotaxime</x:v>
      </x:c>
      <x:c r="C87" s="12" t="str">
        <x:v>SRC011</x:v>
      </x:c>
      <x:c r="D87" s="12" t="str">
        <x:v>NEOPUMP – données internes fabricant élastomère</x:v>
      </x:c>
      <x:c r="E87" s="12" t="str">
        <x:v>Protocole local</x:v>
      </x:c>
      <x:c r="F87" s="12" t="str">
        <x:v>elastomere</x:v>
      </x:c>
      <x:c r="G87" s="12" t="str">
        <x:v>Diffuseur élastomère</x:v>
      </x:c>
      <x:c r="H87" s="12" t="str">
        <x:v>Diffuseur élastomère Easyflow/NEOPUMP ; données internes fabricant </x:v>
      </x:c>
      <x:c r="I87" s="12" t="str">
        <x:v>Oui</x:v>
      </x:c>
      <x:c r="J87" s="12" t="str">
        <x:v>Non</x:v>
      </x:c>
      <x:c r="K87" s="12" t="str">
        <x:v>NaCl 0,9 %</x:v>
      </x:c>
      <x:c r="L87" s="12" t="n">
        <x:v>25</x:v>
      </x:c>
      <x:c r="M87" s="12" t="n">
        <x:v>25</x:v>
      </x:c>
      <x:c r="N87" s="12" t="str">
        <x:v>mg/mL</x:v>
      </x:c>
      <x:c r="O87" s="12"/>
      <x:c r="P87" s="12"/>
      <x:c r="Q87" s="12" t="n">
        <x:v>25</x:v>
      </x:c>
      <x:c r="R87" s="12" t="n">
        <x:v>32</x:v>
      </x:c>
      <x:c r="S87" s="12" t="str">
        <x:v>25°C, 32°C</x:v>
      </x:c>
      <x:c r="T87" s="12" t="n">
        <x:v>24</x:v>
      </x:c>
      <x:c r="U87" s="12"/>
      <x:c r="V87" s="12" t="str"/>
      <x:c r="W87" s="12" t="str"/>
      <x:c r="X87" s="12" t="str"/>
      <x:c r="Y87" s="12" t="str"/>
      <x:c r="Z87" s="12" t="str">
        <x:v>À compléter</x:v>
      </x:c>
      <x:c r="AA87" s="12" t="str">
        <x:v>NEOPUMP élastomère 24 h</x:v>
      </x:c>
      <x:c r="AB87" s="12" t="str">
        <x:v>OK</x:v>
      </x:c>
      <x:c r="AC87" s="12" t="str">
        <x:v>À vérifier</x:v>
      </x:c>
      <x:c r="AD87" s="12" t="str"/>
      <x:c r="AE87" s="12" t="str"/>
      <x:c r="AF87" s="12" t="str">
        <x:v>NaCl 0,9 % ; conc 10, 20 et 25 mg/mL ; stab 24 h à 25°C et 32°C ; 25 mg/mL = 6 g/240 mL</x:v>
      </x:c>
      <x:c r="AG87" s="12" t="str">
        <x:v>Donnée spécifique diffuseur élastomère.</x:v>
      </x:c>
      <x:c r="AH87" s="12" t="str"/>
      <x:c r="AI87" s="12" t="str"/>
      <x:c r="AJ87" t="str">
        <x:f>XLOOKUP(C87,Sources!$A:$A,Sources!$J:$J,"Non")</x:f>
        <x:v>Non</x:v>
      </x:c>
      <x:c r="AK87" t="str">
        <x:f>XLOOKUP(C87,Sources!$A:$A,Sources!$K:$K,"À décider")</x:f>
        <x:v>À décider</x:v>
      </x:c>
      <x:c r="AL87" t="str">
        <x:f>XLOOKUP(C87,Sources!$A:$A,Sources!$L:$L,"Non")</x:f>
        <x:v>Non</x:v>
      </x:c>
      <x:c r="AM87" t="str">
        <x:f>XLOOKUP(C87,Sources!$A:$A,Sources!$M:$M,"Non")</x:f>
        <x:v>Non</x:v>
      </x:c>
      <x:c r="AN87" t="str">
        <x:f>XLOOKUP(C87,Sources!$A:$A,Sources!$N:$N,"À valider")</x:f>
        <x:v>À valider</x:v>
      </x:c>
    </x:row>
    <x:row r="88" ht="18" customHeight="1">
      <x:c r="A88" s="12" t="str">
        <x:v>STAB0087</x:v>
      </x:c>
      <x:c r="B88" s="12" t="str">
        <x:v>Ceftazidime</x:v>
      </x:c>
      <x:c r="C88" s="12" t="str">
        <x:v>SRC011</x:v>
      </x:c>
      <x:c r="D88" s="12" t="str">
        <x:v>NEOPUMP – données internes fabricant élastomère</x:v>
      </x:c>
      <x:c r="E88" s="12" t="str">
        <x:v>Protocole local</x:v>
      </x:c>
      <x:c r="F88" s="12" t="str">
        <x:v>elastomere</x:v>
      </x:c>
      <x:c r="G88" s="12" t="str">
        <x:v>Diffuseur élastomère</x:v>
      </x:c>
      <x:c r="H88" s="12" t="str">
        <x:v>Diffuseur élastomère Easyflow/NEOPUMP ; données internes fabricant </x:v>
      </x:c>
      <x:c r="I88" s="12" t="str">
        <x:v>Oui</x:v>
      </x:c>
      <x:c r="J88" s="12" t="str">
        <x:v>Non</x:v>
      </x:c>
      <x:c r="K88" s="12" t="str">
        <x:v>NaCl 0,9 %</x:v>
      </x:c>
      <x:c r="L88" s="12"/>
      <x:c r="M88" s="12" t="n">
        <x:v>20</x:v>
      </x:c>
      <x:c r="N88" s="12" t="str">
        <x:v>mg/mL</x:v>
      </x:c>
      <x:c r="O88" s="12"/>
      <x:c r="P88" s="12"/>
      <x:c r="Q88" s="12" t="n">
        <x:v>4</x:v>
      </x:c>
      <x:c r="R88" s="12" t="n">
        <x:v>32</x:v>
      </x:c>
      <x:c r="S88" s="12" t="str">
        <x:v>4°C, 25°C, 32°C</x:v>
      </x:c>
      <x:c r="T88" s="12" t="n">
        <x:v>168</x:v>
      </x:c>
      <x:c r="U88" s="12"/>
      <x:c r="V88" s="12" t="str"/>
      <x:c r="W88" s="12" t="str"/>
      <x:c r="X88" s="12" t="str"/>
      <x:c r="Y88" s="12" t="str"/>
      <x:c r="Z88" s="12" t="str">
        <x:v>À compléter</x:v>
      </x:c>
      <x:c r="AA88" s="12" t="str">
        <x:v>NEOPUMP élastomère 24 h à 32°C ; 7 j à 25°C selon fabricant</x:v>
      </x:c>
      <x:c r="AB88" s="12" t="str">
        <x:v>Vigilance</x:v>
      </x:c>
      <x:c r="AC88" s="12" t="str">
        <x:v>À vérifier</x:v>
      </x:c>
      <x:c r="AD88" s="12" t="str"/>
      <x:c r="AE88" s="12" t="str"/>
      <x:c r="AF88" s="12" t="str">
        <x:v>NaCl 0,9 % ; conc 20 mg/mL (2 g/100 mL) et 25 mg/mL (6 g/240 mL) ; stab 7 j à 4°C et 25°C ; 24 h à 32°C</x:v>
      </x:c>
      <x:c r="AG88" s="12" t="str">
        <x:v>À confronter à la vigilance clinique sur température et produits de dégradation.</x:v>
      </x:c>
      <x:c r="AH88" s="12" t="str"/>
      <x:c r="AI88" s="12" t="str"/>
      <x:c r="AJ88" t="str">
        <x:f>XLOOKUP(C88,Sources!$A:$A,Sources!$J:$J,"Non")</x:f>
        <x:v>Non</x:v>
      </x:c>
      <x:c r="AK88" t="str">
        <x:f>XLOOKUP(C88,Sources!$A:$A,Sources!$K:$K,"À décider")</x:f>
        <x:v>À décider</x:v>
      </x:c>
      <x:c r="AL88" t="str">
        <x:f>XLOOKUP(C88,Sources!$A:$A,Sources!$L:$L,"Non")</x:f>
        <x:v>Non</x:v>
      </x:c>
      <x:c r="AM88" t="str">
        <x:f>XLOOKUP(C88,Sources!$A:$A,Sources!$M:$M,"Non")</x:f>
        <x:v>Non</x:v>
      </x:c>
      <x:c r="AN88" t="str">
        <x:f>XLOOKUP(C88,Sources!$A:$A,Sources!$N:$N,"À valider")</x:f>
        <x:v>À valider</x:v>
      </x:c>
    </x:row>
    <x:row r="89" ht="18" customHeight="1">
      <x:c r="A89" s="12" t="str">
        <x:v>STAB0088</x:v>
      </x:c>
      <x:c r="B89" s="12" t="str">
        <x:v>Ceftriaxone</x:v>
      </x:c>
      <x:c r="C89" s="12" t="str">
        <x:v>SRC011</x:v>
      </x:c>
      <x:c r="D89" s="12" t="str">
        <x:v>NEOPUMP – données internes fabricant élastomère</x:v>
      </x:c>
      <x:c r="E89" s="12" t="str">
        <x:v>Protocole local</x:v>
      </x:c>
      <x:c r="F89" s="12" t="str">
        <x:v>elastomere</x:v>
      </x:c>
      <x:c r="G89" s="12" t="str">
        <x:v>Diffuseur élastomère</x:v>
      </x:c>
      <x:c r="H89" s="12" t="str">
        <x:v>Diffuseur élastomère Easyflow/NEOPUMP ; données internes fabricant </x:v>
      </x:c>
      <x:c r="I89" s="12" t="str">
        <x:v>Oui</x:v>
      </x:c>
      <x:c r="J89" s="12" t="str">
        <x:v>Non</x:v>
      </x:c>
      <x:c r="K89" s="12" t="str">
        <x:v>NaCl 0,9 %</x:v>
      </x:c>
      <x:c r="L89" s="12"/>
      <x:c r="M89" s="12" t="n">
        <x:v>10</x:v>
      </x:c>
      <x:c r="N89" s="12" t="str">
        <x:v>mg/mL</x:v>
      </x:c>
      <x:c r="O89" s="12"/>
      <x:c r="P89" s="12"/>
      <x:c r="Q89" s="12" t="n">
        <x:v>4</x:v>
      </x:c>
      <x:c r="R89" s="12" t="n">
        <x:v>32</x:v>
      </x:c>
      <x:c r="S89" s="12" t="str">
        <x:v>4°C, 25°C, 32°C</x:v>
      </x:c>
      <x:c r="T89" s="12" t="n">
        <x:v>336</x:v>
      </x:c>
      <x:c r="U89" s="12"/>
      <x:c r="V89" s="12" t="str"/>
      <x:c r="W89" s="12" t="str"/>
      <x:c r="X89" s="12" t="str"/>
      <x:c r="Y89" s="12" t="str"/>
      <x:c r="Z89" s="12" t="str">
        <x:v>À compléter</x:v>
      </x:c>
      <x:c r="AA89" s="12" t="str">
        <x:v>NEOPUMP élastomère 24 h</x:v>
      </x:c>
      <x:c r="AB89" s="12" t="str">
        <x:v>OK</x:v>
      </x:c>
      <x:c r="AC89" s="12" t="str">
        <x:v>À vérifier</x:v>
      </x:c>
      <x:c r="AD89" s="12" t="str"/>
      <x:c r="AE89" s="12" t="str"/>
      <x:c r="AF89" s="12" t="str">
        <x:v>NaCl 0,9 % ; conc 10 mg/mL (1 g/100 mL), 16 mg/mL (4 g/240 mL) et 20 mg/mL ; stab 14 j à 4°C ; 24 h à 25°C et 32°C</x:v>
      </x:c>
      <x:c r="AG89" s="12" t="str">
        <x:v>Donnée spécifique diffuseur élastomère.</x:v>
      </x:c>
      <x:c r="AH89" s="12" t="str"/>
      <x:c r="AI89" s="12" t="str"/>
      <x:c r="AJ89" t="str">
        <x:f>XLOOKUP(C89,Sources!$A:$A,Sources!$J:$J,"Non")</x:f>
        <x:v>Non</x:v>
      </x:c>
      <x:c r="AK89" t="str">
        <x:f>XLOOKUP(C89,Sources!$A:$A,Sources!$K:$K,"À décider")</x:f>
        <x:v>À décider</x:v>
      </x:c>
      <x:c r="AL89" t="str">
        <x:f>XLOOKUP(C89,Sources!$A:$A,Sources!$L:$L,"Non")</x:f>
        <x:v>Non</x:v>
      </x:c>
      <x:c r="AM89" t="str">
        <x:f>XLOOKUP(C89,Sources!$A:$A,Sources!$M:$M,"Non")</x:f>
        <x:v>Non</x:v>
      </x:c>
      <x:c r="AN89" t="str">
        <x:f>XLOOKUP(C89,Sources!$A:$A,Sources!$N:$N,"À valider")</x:f>
        <x:v>À valider</x:v>
      </x:c>
    </x:row>
    <x:row r="90" ht="18" customHeight="1">
      <x:c r="A90" s="12" t="str">
        <x:v>STAB0089</x:v>
      </x:c>
      <x:c r="B90" s="12" t="str">
        <x:v>Cefuroxime</x:v>
      </x:c>
      <x:c r="C90" s="12" t="str">
        <x:v>SRC011</x:v>
      </x:c>
      <x:c r="D90" s="12" t="str">
        <x:v>NEOPUMP – données internes fabricant élastomère</x:v>
      </x:c>
      <x:c r="E90" s="12" t="str">
        <x:v>Protocole local</x:v>
      </x:c>
      <x:c r="F90" s="12" t="str">
        <x:v>elastomere</x:v>
      </x:c>
      <x:c r="G90" s="12" t="str">
        <x:v>Diffuseur élastomère</x:v>
      </x:c>
      <x:c r="H90" s="12" t="str">
        <x:v>Diffuseur élastomère Easyflow/NEOPUMP ; données internes fabricant </x:v>
      </x:c>
      <x:c r="I90" s="12" t="str">
        <x:v>Non</x:v>
      </x:c>
      <x:c r="J90" s="12" t="str">
        <x:v>Non</x:v>
      </x:c>
      <x:c r="K90" s="12" t="str">
        <x:v>NaCl 0,9 %</x:v>
      </x:c>
      <x:c r="L90" s="12"/>
      <x:c r="M90" s="12" t="n">
        <x:v>15</x:v>
      </x:c>
      <x:c r="N90" s="12" t="str">
        <x:v>mg/mL</x:v>
      </x:c>
      <x:c r="O90" s="12"/>
      <x:c r="P90" s="12"/>
      <x:c r="Q90" s="12" t="n">
        <x:v>4</x:v>
      </x:c>
      <x:c r="R90" s="12" t="n">
        <x:v>32</x:v>
      </x:c>
      <x:c r="S90" s="12" t="str">
        <x:v>4°C, 32°C</x:v>
      </x:c>
      <x:c r="T90" s="12" t="n">
        <x:v>168</x:v>
      </x:c>
      <x:c r="U90" s="12"/>
      <x:c r="V90" s="12" t="str"/>
      <x:c r="W90" s="12" t="str"/>
      <x:c r="X90" s="12" t="str"/>
      <x:c r="Y90" s="12" t="str"/>
      <x:c r="Z90" s="12" t="str">
        <x:v>À compléter</x:v>
      </x:c>
      <x:c r="AA90" s="12" t="str">
        <x:v>NEOPUMP : donnée réfrigérée uniquement</x:v>
      </x:c>
      <x:c r="AB90" s="12" t="str">
        <x:v>OK</x:v>
      </x:c>
      <x:c r="AC90" s="12" t="str">
        <x:v>À vérifier</x:v>
      </x:c>
      <x:c r="AD90" s="12" t="str"/>
      <x:c r="AE90" s="12" t="str"/>
      <x:c r="AF90" s="12" t="str">
        <x:v>NaCl 0,9 % ; conc 15 mg/mL ; stab 7 j à 4°C ; pas de donnée 25/32°C dans le tableau</x:v>
      </x:c>
      <x:c r="AG90" s="12" t="str">
        <x:v>Pas de stabilité ambiante exploitable dans le tableau.</x:v>
      </x:c>
      <x:c r="AH90" s="12" t="str"/>
      <x:c r="AI90" s="12" t="str"/>
      <x:c r="AJ90" t="str">
        <x:f>XLOOKUP(C90,Sources!$A:$A,Sources!$J:$J,"Non")</x:f>
        <x:v>Non</x:v>
      </x:c>
      <x:c r="AK90" t="str">
        <x:f>XLOOKUP(C90,Sources!$A:$A,Sources!$K:$K,"À décider")</x:f>
        <x:v>À décider</x:v>
      </x:c>
      <x:c r="AL90" t="str">
        <x:f>XLOOKUP(C90,Sources!$A:$A,Sources!$L:$L,"Non")</x:f>
        <x:v>Non</x:v>
      </x:c>
      <x:c r="AM90" t="str">
        <x:f>XLOOKUP(C90,Sources!$A:$A,Sources!$M:$M,"Non")</x:f>
        <x:v>Non</x:v>
      </x:c>
      <x:c r="AN90" t="str">
        <x:f>XLOOKUP(C90,Sources!$A:$A,Sources!$N:$N,"À valider")</x:f>
        <x:v>À valider</x:v>
      </x:c>
    </x:row>
    <x:row r="91" ht="18" customHeight="1">
      <x:c r="A91" s="12" t="str">
        <x:v>STAB0090</x:v>
      </x:c>
      <x:c r="B91" s="12" t="str">
        <x:v>Ciprofloxacine</x:v>
      </x:c>
      <x:c r="C91" s="12" t="str">
        <x:v>SRC003</x:v>
      </x:c>
      <x:c r="D91" s="12" t="str">
        <x:v>CH de Tourcoing 2017 + doc interne récent</x:v>
      </x:c>
      <x:c r="E91" s="12" t="str">
        <x:v>Protocole local</x:v>
      </x:c>
      <x:c r="F91" s="12" t="str">
        <x:v>poche</x:v>
      </x:c>
      <x:c r="G91" s="12" t="str">
        <x:v>Poche soluté classique</x:v>
      </x:c>
      <x:c r="H91" s="12" t="str">
        <x:v>Discontinue recommandée ; prêt à l’emploi ; perfusion 60 min</x:v>
      </x:c>
      <x:c r="I91" s="12" t="str">
        <x:v>Oui</x:v>
      </x:c>
      <x:c r="J91" s="12" t="str">
        <x:v>Oui</x:v>
      </x:c>
      <x:c r="K91" s="12" t="str">
        <x:v>NaCl 0,9 %</x:v>
      </x:c>
      <x:c r="L91" s="12" t="n">
        <x:v>1</x:v>
      </x:c>
      <x:c r="M91" s="12" t="n">
        <x:v>2</x:v>
      </x:c>
      <x:c r="N91" s="12" t="str">
        <x:v>mg/mL</x:v>
      </x:c>
      <x:c r="O91" s="12"/>
      <x:c r="P91" s="12"/>
      <x:c r="Q91" s="12"/>
      <x:c r="R91" s="12"/>
      <x:c r="S91" s="12" t="str">
        <x:v>RT</x:v>
      </x:c>
      <x:c r="T91" s="12" t="n">
        <x:v>24</x:v>
      </x:c>
      <x:c r="U91" s="12"/>
      <x:c r="V91" s="12" t="str"/>
      <x:c r="W91" s="12" t="str"/>
      <x:c r="X91" s="12" t="str"/>
      <x:c r="Y91" s="12" t="str"/>
      <x:c r="Z91" s="12" t="str">
        <x:v>À compléter</x:v>
      </x:c>
      <x:c r="AA91" s="12" t="str">
        <x:v>Discontinue</x:v>
      </x:c>
      <x:c r="AB91" s="12" t="str">
        <x:v>OK</x:v>
      </x:c>
      <x:c r="AC91" s="12" t="str">
        <x:v>À vérifier</x:v>
      </x:c>
      <x:c r="AD91" s="12" t="str"/>
      <x:c r="AE91" s="12" t="str"/>
      <x:c r="AF91" s="12" t="str">
        <x:v>Prêt à l’emploi ; NaCl 0,9 % ; conc commerciale 1–2 mg/mL ; stab 24 h RT</x:v>
      </x:c>
      <x:c r="AG91" s="12" t="str">
        <x:v>Présentation prête à l’emploi la plus utilisée en pratique.</x:v>
      </x:c>
      <x:c r="AH91" s="12" t="str"/>
      <x:c r="AI91" s="12" t="str"/>
      <x:c r="AJ91" t="str">
        <x:f>XLOOKUP(C91,Sources!$A:$A,Sources!$J:$J,"Non")</x:f>
        <x:v>Oui</x:v>
      </x:c>
      <x:c r="AK91" t="str">
        <x:f>XLOOKUP(C91,Sources!$A:$A,Sources!$K:$K,"À décider")</x:f>
        <x:v>Interne hôpital</x:v>
      </x:c>
      <x:c r="AL91" t="str">
        <x:f>XLOOKUP(C91,Sources!$A:$A,Sources!$L:$L,"Non")</x:f>
        <x:v>Non</x:v>
      </x:c>
      <x:c r="AM91" t="str">
        <x:f>XLOOKUP(C91,Sources!$A:$A,Sources!$M:$M,"Non")</x:f>
        <x:v>Oui</x:v>
      </x:c>
      <x:c r="AN91" t="str">
        <x:f>XLOOKUP(C91,Sources!$A:$A,Sources!$N:$N,"À valider")</x:f>
        <x:v>À valider</x:v>
      </x:c>
    </x:row>
    <x:row r="92" ht="18" customHeight="1">
      <x:c r="A92" s="12" t="str">
        <x:v>STAB0091</x:v>
      </x:c>
      <x:c r="B92" s="12" t="str">
        <x:v>Ciprofloxacine</x:v>
      </x:c>
      <x:c r="C92" s="12" t="str">
        <x:v>SRC013</x:v>
      </x:c>
      <x:c r="D92" s="12" t="str">
        <x:v>PubMed – littérature sélectionnée</x:v>
      </x:c>
      <x:c r="E92" s="12" t="str">
        <x:v>Publication</x:v>
      </x:c>
      <x:c r="F92" s="12" t="str">
        <x:v>pse</x:v>
      </x:c>
      <x:c r="G92" s="12" t="str">
        <x:v>PSE seringue PP</x:v>
      </x:c>
      <x:c r="H92" s="12" t="str">
        <x:v>Perfusion prolongée / diffuseur élastomère</x:v>
      </x:c>
      <x:c r="I92" s="12" t="str">
        <x:v>Non</x:v>
      </x:c>
      <x:c r="J92" s="12" t="str">
        <x:v>Non</x:v>
      </x:c>
      <x:c r="K92" s="12" t="str"/>
      <x:c r="L92" s="12"/>
      <x:c r="M92" s="12"/>
      <x:c r="N92" s="12" t="str"/>
      <x:c r="O92" s="12"/>
      <x:c r="P92" s="12"/>
      <x:c r="Q92" s="12"/>
      <x:c r="R92" s="12"/>
      <x:c r="S92" s="12" t="str"/>
      <x:c r="T92" s="12"/>
      <x:c r="U92" s="12"/>
      <x:c r="V92" s="12" t="str"/>
      <x:c r="W92" s="12" t="str"/>
      <x:c r="X92" s="12" t="str"/>
      <x:c r="Y92" s="12" t="str"/>
      <x:c r="Z92" s="12" t="str">
        <x:v>À compléter</x:v>
      </x:c>
      <x:c r="AA92" s="12" t="str">
        <x:v>Diffuseur élastomère possible</x:v>
      </x:c>
      <x:c r="AB92" s="12" t="str">
        <x:v>Vigilance</x:v>
      </x:c>
      <x:c r="AC92" s="12" t="str">
        <x:v>À vérifier</x:v>
      </x:c>
      <x:c r="AD92" s="12" t="str"/>
      <x:c r="AE92" s="12" t="str"/>
      <x:c r="AF92" s="12" t="str">
        <x:v>Seringue PP ; données limitées mais compatibles courte durée</x:v>
      </x:c>
      <x:c r="AG92" s="12" t="str">
        <x:v>Attention photoprotection selon spécialité.</x:v>
      </x:c>
      <x:c r="AH92" s="12" t="str"/>
      <x:c r="AI92" s="12" t="str">
        <x:v>https://pubmed.ncbi.nlm.nih.gov/20458106/</x:v>
      </x:c>
      <x:c r="AJ92" t="str">
        <x:f>XLOOKUP(C92,Sources!$A:$A,Sources!$J:$J,"Non")</x:f>
        <x:v>Non</x:v>
      </x:c>
      <x:c r="AK92" t="str">
        <x:f>XLOOKUP(C92,Sources!$A:$A,Sources!$K:$K,"À décider")</x:f>
        <x:v>À décider</x:v>
      </x:c>
      <x:c r="AL92" t="str">
        <x:f>XLOOKUP(C92,Sources!$A:$A,Sources!$L:$L,"Non")</x:f>
        <x:v>Non</x:v>
      </x:c>
      <x:c r="AM92" t="str">
        <x:f>XLOOKUP(C92,Sources!$A:$A,Sources!$M:$M,"Non")</x:f>
        <x:v>Non</x:v>
      </x:c>
      <x:c r="AN92" t="str">
        <x:f>XLOOKUP(C92,Sources!$A:$A,Sources!$N:$N,"À valider")</x:f>
        <x:v>À valider</x:v>
      </x:c>
    </x:row>
    <x:row r="93" ht="18" customHeight="1">
      <x:c r="A93" s="12" t="str">
        <x:v>STAB0092</x:v>
      </x:c>
      <x:c r="B93" s="12" t="str">
        <x:v>Ciprofloxacine</x:v>
      </x:c>
      <x:c r="C93" s="12" t="str">
        <x:v>SRC013</x:v>
      </x:c>
      <x:c r="D93" s="12" t="str">
        <x:v>PubMed – littérature sélectionnée</x:v>
      </x:c>
      <x:c r="E93" s="12" t="str">
        <x:v>Publication</x:v>
      </x:c>
      <x:c r="F93" s="12" t="str">
        <x:v>elastomere</x:v>
      </x:c>
      <x:c r="G93" s="12" t="str">
        <x:v>Diffuseur élastomère</x:v>
      </x:c>
      <x:c r="H93" s="12" t="str">
        <x:v>Perfusion prolongée / diffuseur élastomère</x:v>
      </x:c>
      <x:c r="I93" s="12" t="str">
        <x:v>Oui</x:v>
      </x:c>
      <x:c r="J93" s="12" t="str">
        <x:v>Non</x:v>
      </x:c>
      <x:c r="K93" s="12" t="str"/>
      <x:c r="L93" s="12" t="n">
        <x:v>1</x:v>
      </x:c>
      <x:c r="M93" s="12" t="n">
        <x:v>2</x:v>
      </x:c>
      <x:c r="N93" s="12" t="str">
        <x:v>mg/mL</x:v>
      </x:c>
      <x:c r="O93" s="12"/>
      <x:c r="P93" s="12"/>
      <x:c r="Q93" s="12"/>
      <x:c r="R93" s="12"/>
      <x:c r="S93" s="12" t="str"/>
      <x:c r="T93" s="12" t="n">
        <x:v>24</x:v>
      </x:c>
      <x:c r="U93" s="12"/>
      <x:c r="V93" s="12" t="str"/>
      <x:c r="W93" s="12" t="str"/>
      <x:c r="X93" s="12" t="str"/>
      <x:c r="Y93" s="12" t="str"/>
      <x:c r="Z93" s="12" t="str">
        <x:v>À compléter</x:v>
      </x:c>
      <x:c r="AA93" s="12" t="str">
        <x:v>Diffuseur élastomère possible</x:v>
      </x:c>
      <x:c r="AB93" s="12" t="str">
        <x:v>Vigilance</x:v>
      </x:c>
      <x:c r="AC93" s="12" t="str">
        <x:v>À vérifier</x:v>
      </x:c>
      <x:c r="AD93" s="12" t="str"/>
      <x:c r="AE93" s="12" t="str"/>
      <x:c r="AF93" s="12" t="str">
        <x:v>Diffuseur élastomère ; conc 1–2 mg/mL ; stabilité 24 h rapportée dans plusieurs études OPAT</x:v>
      </x:c>
      <x:c r="AG93" s="12" t="str">
        <x:v>Attention photoprotection selon spécialité.</x:v>
      </x:c>
      <x:c r="AH93" s="12" t="str"/>
      <x:c r="AI93" s="12" t="str">
        <x:v>https://pubmed.ncbi.nlm.nih.gov/20458106/</x:v>
      </x:c>
      <x:c r="AJ93" t="str">
        <x:f>XLOOKUP(C93,Sources!$A:$A,Sources!$J:$J,"Non")</x:f>
        <x:v>Non</x:v>
      </x:c>
      <x:c r="AK93" t="str">
        <x:f>XLOOKUP(C93,Sources!$A:$A,Sources!$K:$K,"À décider")</x:f>
        <x:v>À décider</x:v>
      </x:c>
      <x:c r="AL93" t="str">
        <x:f>XLOOKUP(C93,Sources!$A:$A,Sources!$L:$L,"Non")</x:f>
        <x:v>Non</x:v>
      </x:c>
      <x:c r="AM93" t="str">
        <x:f>XLOOKUP(C93,Sources!$A:$A,Sources!$M:$M,"Non")</x:f>
        <x:v>Non</x:v>
      </x:c>
      <x:c r="AN93" t="str">
        <x:f>XLOOKUP(C93,Sources!$A:$A,Sources!$N:$N,"À valider")</x:f>
        <x:v>À valider</x:v>
      </x:c>
    </x:row>
    <x:row r="94" ht="18" customHeight="1">
      <x:c r="A94" s="12" t="str">
        <x:v>STAB0093</x:v>
      </x:c>
      <x:c r="B94" s="12" t="str">
        <x:v>Ciprofloxacine</x:v>
      </x:c>
      <x:c r="C94" s="12" t="str">
        <x:v>SRC011</x:v>
      </x:c>
      <x:c r="D94" s="12" t="str">
        <x:v>NEOPUMP – données internes fabricant élastomère</x:v>
      </x:c>
      <x:c r="E94" s="12" t="str">
        <x:v>Protocole local</x:v>
      </x:c>
      <x:c r="F94" s="12" t="str">
        <x:v>elastomere</x:v>
      </x:c>
      <x:c r="G94" s="12" t="str">
        <x:v>Diffuseur élastomère</x:v>
      </x:c>
      <x:c r="H94" s="12" t="str">
        <x:v>Diffuseur élastomère Easyflow/NEOPUMP ; données internes fabricant </x:v>
      </x:c>
      <x:c r="I94" s="12" t="str">
        <x:v>Oui</x:v>
      </x:c>
      <x:c r="J94" s="12" t="str">
        <x:v>Non</x:v>
      </x:c>
      <x:c r="K94" s="12" t="str">
        <x:v>NaCl 0,9 %</x:v>
      </x:c>
      <x:c r="L94" s="12"/>
      <x:c r="M94" s="12" t="n">
        <x:v>1</x:v>
      </x:c>
      <x:c r="N94" s="12" t="str">
        <x:v>mg/mL</x:v>
      </x:c>
      <x:c r="O94" s="12"/>
      <x:c r="P94" s="12"/>
      <x:c r="Q94" s="12" t="n">
        <x:v>4</x:v>
      </x:c>
      <x:c r="R94" s="12" t="n">
        <x:v>32</x:v>
      </x:c>
      <x:c r="S94" s="12" t="str">
        <x:v>4°C, 25°C, 32°C</x:v>
      </x:c>
      <x:c r="T94" s="12" t="n">
        <x:v>288</x:v>
      </x:c>
      <x:c r="U94" s="12"/>
      <x:c r="V94" s="12" t="str"/>
      <x:c r="W94" s="12" t="str"/>
      <x:c r="X94" s="12" t="str"/>
      <x:c r="Y94" s="12" t="str"/>
      <x:c r="Z94" s="12" t="str">
        <x:v>À compléter</x:v>
      </x:c>
      <x:c r="AA94" s="12" t="str">
        <x:v>NEOPUMP élastomère 24 h</x:v>
      </x:c>
      <x:c r="AB94" s="12" t="str">
        <x:v>OK</x:v>
      </x:c>
      <x:c r="AC94" s="12" t="str">
        <x:v>À vérifier</x:v>
      </x:c>
      <x:c r="AD94" s="12" t="str"/>
      <x:c r="AE94" s="12" t="str"/>
      <x:c r="AF94" s="12" t="str">
        <x:v>NaCl 0,9 % ; conc 1 mg/mL et 2 mg/mL : stab 24 h à 25°C et 32°C ; 200 mg/100 mL : stab 12 j à 4°C et 25°C</x:v>
      </x:c>
      <x:c r="AG94" s="12" t="str">
        <x:v>Donnée spécifique diffuseur élastomère.</x:v>
      </x:c>
      <x:c r="AH94" s="12" t="str"/>
      <x:c r="AI94" s="12" t="str"/>
      <x:c r="AJ94" t="str">
        <x:f>XLOOKUP(C94,Sources!$A:$A,Sources!$J:$J,"Non")</x:f>
        <x:v>Non</x:v>
      </x:c>
      <x:c r="AK94" t="str">
        <x:f>XLOOKUP(C94,Sources!$A:$A,Sources!$K:$K,"À décider")</x:f>
        <x:v>À décider</x:v>
      </x:c>
      <x:c r="AL94" t="str">
        <x:f>XLOOKUP(C94,Sources!$A:$A,Sources!$L:$L,"Non")</x:f>
        <x:v>Non</x:v>
      </x:c>
      <x:c r="AM94" t="str">
        <x:f>XLOOKUP(C94,Sources!$A:$A,Sources!$M:$M,"Non")</x:f>
        <x:v>Non</x:v>
      </x:c>
      <x:c r="AN94" t="str">
        <x:f>XLOOKUP(C94,Sources!$A:$A,Sources!$N:$N,"À valider")</x:f>
        <x:v>À valider</x:v>
      </x:c>
    </x:row>
    <x:row r="95" ht="18" customHeight="1">
      <x:c r="A95" s="12" t="str">
        <x:v>STAB0094</x:v>
      </x:c>
      <x:c r="B95" s="12" t="str">
        <x:v>Clindamycine</x:v>
      </x:c>
      <x:c r="C95" s="12" t="str">
        <x:v>SRC011</x:v>
      </x:c>
      <x:c r="D95" s="12" t="str">
        <x:v>NEOPUMP – données internes fabricant élastomère</x:v>
      </x:c>
      <x:c r="E95" s="12" t="str">
        <x:v>Protocole local</x:v>
      </x:c>
      <x:c r="F95" s="12" t="str">
        <x:v>elastomere</x:v>
      </x:c>
      <x:c r="G95" s="12" t="str">
        <x:v>Diffuseur élastomère</x:v>
      </x:c>
      <x:c r="H95" s="12" t="str">
        <x:v>Diffuseur élastomère Easyflow/NEOPUMP ; données internes fabricant </x:v>
      </x:c>
      <x:c r="I95" s="12" t="str">
        <x:v>Non</x:v>
      </x:c>
      <x:c r="J95" s="12" t="str">
        <x:v>Non</x:v>
      </x:c>
      <x:c r="K95" s="12" t="str">
        <x:v>NaCl 0,9 %</x:v>
      </x:c>
      <x:c r="L95" s="12"/>
      <x:c r="M95" s="12" t="n">
        <x:v>10</x:v>
      </x:c>
      <x:c r="N95" s="12" t="str">
        <x:v>mg/mL</x:v>
      </x:c>
      <x:c r="O95" s="12"/>
      <x:c r="P95" s="12"/>
      <x:c r="Q95" s="12" t="n">
        <x:v>4</x:v>
      </x:c>
      <x:c r="R95" s="12" t="n">
        <x:v>32</x:v>
      </x:c>
      <x:c r="S95" s="12" t="str">
        <x:v>4°C, 32°C</x:v>
      </x:c>
      <x:c r="T95" s="12" t="n">
        <x:v>168</x:v>
      </x:c>
      <x:c r="U95" s="12"/>
      <x:c r="V95" s="12" t="str"/>
      <x:c r="W95" s="12" t="str"/>
      <x:c r="X95" s="12" t="str"/>
      <x:c r="Y95" s="12" t="str"/>
      <x:c r="Z95" s="12" t="str">
        <x:v>À compléter</x:v>
      </x:c>
      <x:c r="AA95" s="12" t="str">
        <x:v>NEOPUMP : donnée réfrigérée uniquement</x:v>
      </x:c>
      <x:c r="AB95" s="12" t="str">
        <x:v>OK</x:v>
      </x:c>
      <x:c r="AC95" s="12" t="str">
        <x:v>À vérifier</x:v>
      </x:c>
      <x:c r="AD95" s="12" t="str"/>
      <x:c r="AE95" s="12" t="str"/>
      <x:c r="AF95" s="12" t="str">
        <x:v>NaCl 0,9 % ; conc 10 mg/mL ; stab 7 j à 4°C ; pas de donnée 25/32°C dans le tableau</x:v>
      </x:c>
      <x:c r="AG95" s="12" t="str">
        <x:v>Pas de stabilité ambiante exploitable dans le tableau.</x:v>
      </x:c>
      <x:c r="AH95" s="12" t="str"/>
      <x:c r="AI95" s="12" t="str"/>
      <x:c r="AJ95" t="str">
        <x:f>XLOOKUP(C95,Sources!$A:$A,Sources!$J:$J,"Non")</x:f>
        <x:v>Non</x:v>
      </x:c>
      <x:c r="AK95" t="str">
        <x:f>XLOOKUP(C95,Sources!$A:$A,Sources!$K:$K,"À décider")</x:f>
        <x:v>À décider</x:v>
      </x:c>
      <x:c r="AL95" t="str">
        <x:f>XLOOKUP(C95,Sources!$A:$A,Sources!$L:$L,"Non")</x:f>
        <x:v>Non</x:v>
      </x:c>
      <x:c r="AM95" t="str">
        <x:f>XLOOKUP(C95,Sources!$A:$A,Sources!$M:$M,"Non")</x:f>
        <x:v>Non</x:v>
      </x:c>
      <x:c r="AN95" t="str">
        <x:f>XLOOKUP(C95,Sources!$A:$A,Sources!$N:$N,"À valider")</x:f>
        <x:v>À valider</x:v>
      </x:c>
    </x:row>
    <x:row r="96" ht="18" customHeight="1">
      <x:c r="A96" s="12" t="str">
        <x:v>STAB0095</x:v>
      </x:c>
      <x:c r="B96" s="12" t="str">
        <x:v>Colistine</x:v>
      </x:c>
      <x:c r="C96" s="12" t="str">
        <x:v>SRC011</x:v>
      </x:c>
      <x:c r="D96" s="12" t="str">
        <x:v>NEOPUMP – données internes fabricant élastomère</x:v>
      </x:c>
      <x:c r="E96" s="12" t="str">
        <x:v>Protocole local</x:v>
      </x:c>
      <x:c r="F96" s="12" t="str">
        <x:v>elastomere</x:v>
      </x:c>
      <x:c r="G96" s="12" t="str">
        <x:v>Diffuseur élastomère</x:v>
      </x:c>
      <x:c r="H96" s="12" t="str">
        <x:v>Diffuseur élastomère Easyflow/NEOPUMP ; données internes fabricant </x:v>
      </x:c>
      <x:c r="I96" s="12" t="str">
        <x:v>Non</x:v>
      </x:c>
      <x:c r="J96" s="12" t="str">
        <x:v>Non</x:v>
      </x:c>
      <x:c r="K96" s="12" t="str">
        <x:v>NaCl 0,9 %</x:v>
      </x:c>
      <x:c r="L96" s="12"/>
      <x:c r="M96" s="12" t="n">
        <x:v>0.015</x:v>
      </x:c>
      <x:c r="N96" s="12" t="str">
        <x:v>MUI/mL</x:v>
      </x:c>
      <x:c r="O96" s="12"/>
      <x:c r="P96" s="12"/>
      <x:c r="Q96" s="12" t="n">
        <x:v>4</x:v>
      </x:c>
      <x:c r="R96" s="12" t="n">
        <x:v>32</x:v>
      </x:c>
      <x:c r="S96" s="12" t="str">
        <x:v>4°C, 32°C</x:v>
      </x:c>
      <x:c r="T96" s="12" t="n">
        <x:v>168</x:v>
      </x:c>
      <x:c r="U96" s="12"/>
      <x:c r="V96" s="12" t="str"/>
      <x:c r="W96" s="12" t="str"/>
      <x:c r="X96" s="12" t="str"/>
      <x:c r="Y96" s="12" t="str"/>
      <x:c r="Z96" s="12" t="str">
        <x:v>À compléter</x:v>
      </x:c>
      <x:c r="AA96" s="12" t="str">
        <x:v>NEOPUMP : donnée réfrigérée uniquement</x:v>
      </x:c>
      <x:c r="AB96" s="12" t="str">
        <x:v>OK</x:v>
      </x:c>
      <x:c r="AC96" s="12" t="str">
        <x:v>À vérifier</x:v>
      </x:c>
      <x:c r="AD96" s="12" t="str"/>
      <x:c r="AE96" s="12" t="str"/>
      <x:c r="AF96" s="12" t="str">
        <x:v>NaCl 0,9 % ; colistiméthate sodique ; conc 0,015 MUI/mL ; stab 7 j à 4°C ; pas de donnée 25/32°C dans le tableau</x:v>
      </x:c>
      <x:c r="AG96" s="12" t="str">
        <x:v>Pas de stabilité ambiante exploitable dans le tableau.</x:v>
      </x:c>
      <x:c r="AH96" s="12" t="str"/>
      <x:c r="AI96" s="12" t="str"/>
      <x:c r="AJ96" t="str">
        <x:f>XLOOKUP(C96,Sources!$A:$A,Sources!$J:$J,"Non")</x:f>
        <x:v>Non</x:v>
      </x:c>
      <x:c r="AK96" t="str">
        <x:f>XLOOKUP(C96,Sources!$A:$A,Sources!$K:$K,"À décider")</x:f>
        <x:v>À décider</x:v>
      </x:c>
      <x:c r="AL96" t="str">
        <x:f>XLOOKUP(C96,Sources!$A:$A,Sources!$L:$L,"Non")</x:f>
        <x:v>Non</x:v>
      </x:c>
      <x:c r="AM96" t="str">
        <x:f>XLOOKUP(C96,Sources!$A:$A,Sources!$M:$M,"Non")</x:f>
        <x:v>Non</x:v>
      </x:c>
      <x:c r="AN96" t="str">
        <x:f>XLOOKUP(C96,Sources!$A:$A,Sources!$N:$N,"À valider")</x:f>
        <x:v>À valider</x:v>
      </x:c>
    </x:row>
    <x:row r="97" ht="18" customHeight="1">
      <x:c r="A97" s="12" t="str">
        <x:v>STAB0096</x:v>
      </x:c>
      <x:c r="B97" s="12" t="str">
        <x:v>Daptomycine</x:v>
      </x:c>
      <x:c r="C97" s="12" t="str">
        <x:v>SRC011</x:v>
      </x:c>
      <x:c r="D97" s="12" t="str">
        <x:v>NEOPUMP – données internes fabricant élastomère</x:v>
      </x:c>
      <x:c r="E97" s="12" t="str">
        <x:v>Protocole local</x:v>
      </x:c>
      <x:c r="F97" s="12" t="str">
        <x:v>elastomere</x:v>
      </x:c>
      <x:c r="G97" s="12" t="str">
        <x:v>Diffuseur élastomère</x:v>
      </x:c>
      <x:c r="H97" s="12" t="str">
        <x:v>Diffuseur élastomère Easyflow/NEOPUMP ; données internes fabricant </x:v>
      </x:c>
      <x:c r="I97" s="12" t="str">
        <x:v>Non</x:v>
      </x:c>
      <x:c r="J97" s="12" t="str">
        <x:v>Non</x:v>
      </x:c>
      <x:c r="K97" s="12" t="str">
        <x:v>NaCl 0,9 %</x:v>
      </x:c>
      <x:c r="L97" s="12"/>
      <x:c r="M97" s="12" t="n">
        <x:v>9</x:v>
      </x:c>
      <x:c r="N97" s="12" t="str">
        <x:v>mg/mL</x:v>
      </x:c>
      <x:c r="O97" s="12"/>
      <x:c r="P97" s="12"/>
      <x:c r="Q97" s="12" t="n">
        <x:v>4</x:v>
      </x:c>
      <x:c r="R97" s="12" t="n">
        <x:v>32</x:v>
      </x:c>
      <x:c r="S97" s="12" t="str">
        <x:v>4°C, 32°C</x:v>
      </x:c>
      <x:c r="T97" s="12" t="n">
        <x:v>168</x:v>
      </x:c>
      <x:c r="U97" s="12"/>
      <x:c r="V97" s="12" t="str"/>
      <x:c r="W97" s="12" t="str"/>
      <x:c r="X97" s="12" t="str"/>
      <x:c r="Y97" s="12" t="str"/>
      <x:c r="Z97" s="12" t="str">
        <x:v>À compléter</x:v>
      </x:c>
      <x:c r="AA97" s="12" t="str">
        <x:v>NEOPUMP : donnée réfrigérée uniquement</x:v>
      </x:c>
      <x:c r="AB97" s="12" t="str">
        <x:v>OK</x:v>
      </x:c>
      <x:c r="AC97" s="12" t="str">
        <x:v>À vérifier</x:v>
      </x:c>
      <x:c r="AD97" s="12" t="str"/>
      <x:c r="AE97" s="12" t="str"/>
      <x:c r="AF97" s="12" t="str">
        <x:v>NaCl 0,9 % ; conc 9 mg/mL ; stab 7 j à 4°C ; pas de donnée 25/32°C dans le tableau</x:v>
      </x:c>
      <x:c r="AG97" s="12" t="str">
        <x:v>Pas de stabilité ambiante exploitable dans le tableau.</x:v>
      </x:c>
      <x:c r="AH97" s="12" t="str"/>
      <x:c r="AI97" s="12" t="str"/>
      <x:c r="AJ97" t="str">
        <x:f>XLOOKUP(C97,Sources!$A:$A,Sources!$J:$J,"Non")</x:f>
        <x:v>Non</x:v>
      </x:c>
      <x:c r="AK97" t="str">
        <x:f>XLOOKUP(C97,Sources!$A:$A,Sources!$K:$K,"À décider")</x:f>
        <x:v>À décider</x:v>
      </x:c>
      <x:c r="AL97" t="str">
        <x:f>XLOOKUP(C97,Sources!$A:$A,Sources!$L:$L,"Non")</x:f>
        <x:v>Non</x:v>
      </x:c>
      <x:c r="AM97" t="str">
        <x:f>XLOOKUP(C97,Sources!$A:$A,Sources!$M:$M,"Non")</x:f>
        <x:v>Non</x:v>
      </x:c>
      <x:c r="AN97" t="str">
        <x:f>XLOOKUP(C97,Sources!$A:$A,Sources!$N:$N,"À valider")</x:f>
        <x:v>À valider</x:v>
      </x:c>
    </x:row>
    <x:row r="98" ht="18" customHeight="1">
      <x:c r="A98" s="12" t="str">
        <x:v>STAB0097</x:v>
      </x:c>
      <x:c r="B98" s="12" t="str">
        <x:v>Ertapénem</x:v>
      </x:c>
      <x:c r="C98" s="12" t="str">
        <x:v>SRC011</x:v>
      </x:c>
      <x:c r="D98" s="12" t="str">
        <x:v>NEOPUMP – données internes fabricant élastomère</x:v>
      </x:c>
      <x:c r="E98" s="12" t="str">
        <x:v>Protocole local</x:v>
      </x:c>
      <x:c r="F98" s="12" t="str">
        <x:v>elastomere</x:v>
      </x:c>
      <x:c r="G98" s="12" t="str">
        <x:v>Diffuseur élastomère</x:v>
      </x:c>
      <x:c r="H98" s="12" t="str">
        <x:v>Diffuseur élastomère Easyflow/NEOPUMP ; données internes fabricant </x:v>
      </x:c>
      <x:c r="I98" s="12" t="str">
        <x:v>Non</x:v>
      </x:c>
      <x:c r="J98" s="12" t="str">
        <x:v>Non</x:v>
      </x:c>
      <x:c r="K98" s="12" t="str">
        <x:v>NaCl 0,9 %</x:v>
      </x:c>
      <x:c r="L98" s="12"/>
      <x:c r="M98" s="12" t="n">
        <x:v>10</x:v>
      </x:c>
      <x:c r="N98" s="12" t="str">
        <x:v>mg/mL</x:v>
      </x:c>
      <x:c r="O98" s="12"/>
      <x:c r="P98" s="12"/>
      <x:c r="Q98" s="12" t="n">
        <x:v>4</x:v>
      </x:c>
      <x:c r="R98" s="12" t="n">
        <x:v>32</x:v>
      </x:c>
      <x:c r="S98" s="12" t="str">
        <x:v>4°C, 25°C, 32°C</x:v>
      </x:c>
      <x:c r="T98" s="12" t="n">
        <x:v>168</x:v>
      </x:c>
      <x:c r="U98" s="12"/>
      <x:c r="V98" s="12" t="str"/>
      <x:c r="W98" s="12" t="str"/>
      <x:c r="X98" s="12" t="str"/>
      <x:c r="Y98" s="12" t="str"/>
      <x:c r="Z98" s="12" t="str">
        <x:v>À compléter</x:v>
      </x:c>
      <x:c r="AA98" s="12" t="str">
        <x:v>NEOPUMP : 12 h à 10 mg/mL ; 1 h à 20 mg/mL</x:v>
      </x:c>
      <x:c r="AB98" s="12" t="str">
        <x:v>Vigilance</x:v>
      </x:c>
      <x:c r="AC98" s="12" t="str">
        <x:v>À vérifier</x:v>
      </x:c>
      <x:c r="AD98" s="12" t="str"/>
      <x:c r="AE98" s="12" t="str"/>
      <x:c r="AF98" s="12" t="str">
        <x:v>NaCl 0,9 % ; conc 10 mg/mL (1 g/100 mL) : stab 7 j à 4°C, 12 h à 25°C et 32°C ; conc 20 mg/mL (2 g/100 mL) : stab 1 h à 25°C et 32°C</x:v>
      </x:c>
      <x:c r="AG98" s="12" t="str">
        <x:v>Forte dépendance à la concentration.</x:v>
      </x:c>
      <x:c r="AH98" s="12" t="str"/>
      <x:c r="AI98" s="12" t="str"/>
      <x:c r="AJ98" t="str">
        <x:f>XLOOKUP(C98,Sources!$A:$A,Sources!$J:$J,"Non")</x:f>
        <x:v>Non</x:v>
      </x:c>
      <x:c r="AK98" t="str">
        <x:f>XLOOKUP(C98,Sources!$A:$A,Sources!$K:$K,"À décider")</x:f>
        <x:v>À décider</x:v>
      </x:c>
      <x:c r="AL98" t="str">
        <x:f>XLOOKUP(C98,Sources!$A:$A,Sources!$L:$L,"Non")</x:f>
        <x:v>Non</x:v>
      </x:c>
      <x:c r="AM98" t="str">
        <x:f>XLOOKUP(C98,Sources!$A:$A,Sources!$M:$M,"Non")</x:f>
        <x:v>Non</x:v>
      </x:c>
      <x:c r="AN98" t="str">
        <x:f>XLOOKUP(C98,Sources!$A:$A,Sources!$N:$N,"À valider")</x:f>
        <x:v>À valider</x:v>
      </x:c>
    </x:row>
    <x:row r="99" ht="18" customHeight="1">
      <x:c r="A99" s="12" t="str">
        <x:v>STAB0098</x:v>
      </x:c>
      <x:c r="B99" s="12" t="str">
        <x:v>Fluconazole</x:v>
      </x:c>
      <x:c r="C99" s="12" t="str">
        <x:v>SRC011</x:v>
      </x:c>
      <x:c r="D99" s="12" t="str">
        <x:v>NEOPUMP – données internes fabricant élastomère</x:v>
      </x:c>
      <x:c r="E99" s="12" t="str">
        <x:v>Protocole local</x:v>
      </x:c>
      <x:c r="F99" s="12" t="str">
        <x:v>elastomere</x:v>
      </x:c>
      <x:c r="G99" s="12" t="str">
        <x:v>Diffuseur élastomère</x:v>
      </x:c>
      <x:c r="H99" s="12" t="str">
        <x:v>Diffuseur élastomère Easyflow/NEOPUMP ; données internes fabricant </x:v>
      </x:c>
      <x:c r="I99" s="12" t="str">
        <x:v>Oui</x:v>
      </x:c>
      <x:c r="J99" s="12" t="str">
        <x:v>Non</x:v>
      </x:c>
      <x:c r="K99" s="12" t="str">
        <x:v>NaCl 0,9 %</x:v>
      </x:c>
      <x:c r="L99" s="12"/>
      <x:c r="M99" s="12" t="n">
        <x:v>1</x:v>
      </x:c>
      <x:c r="N99" s="12" t="str">
        <x:v>mg/mL</x:v>
      </x:c>
      <x:c r="O99" s="12"/>
      <x:c r="P99" s="12"/>
      <x:c r="Q99" s="12" t="n">
        <x:v>25</x:v>
      </x:c>
      <x:c r="R99" s="12" t="n">
        <x:v>32</x:v>
      </x:c>
      <x:c r="S99" s="12" t="str">
        <x:v>25°C, 32°C</x:v>
      </x:c>
      <x:c r="T99" s="12" t="n">
        <x:v>24</x:v>
      </x:c>
      <x:c r="U99" s="12"/>
      <x:c r="V99" s="12" t="str"/>
      <x:c r="W99" s="12" t="str"/>
      <x:c r="X99" s="12" t="str"/>
      <x:c r="Y99" s="12" t="str"/>
      <x:c r="Z99" s="12" t="str">
        <x:v>À compléter</x:v>
      </x:c>
      <x:c r="AA99" s="12" t="str">
        <x:v>NEOPUMP élastomère 24 h</x:v>
      </x:c>
      <x:c r="AB99" s="12" t="str">
        <x:v>OK</x:v>
      </x:c>
      <x:c r="AC99" s="12" t="str">
        <x:v>À vérifier</x:v>
      </x:c>
      <x:c r="AD99" s="12" t="str"/>
      <x:c r="AE99" s="12" t="str"/>
      <x:c r="AF99" s="12" t="str">
        <x:v>NaCl 0,9 % ; conc 1 mg/mL et 2 mg/mL ; stab 24 h à 25°C et 32°C</x:v>
      </x:c>
      <x:c r="AG99" s="12" t="str">
        <x:v>Donnée spécifique diffuseur élastomère.</x:v>
      </x:c>
      <x:c r="AH99" s="12" t="str"/>
      <x:c r="AI99" s="12" t="str"/>
      <x:c r="AJ99" t="str">
        <x:f>XLOOKUP(C99,Sources!$A:$A,Sources!$J:$J,"Non")</x:f>
        <x:v>Non</x:v>
      </x:c>
      <x:c r="AK99" t="str">
        <x:f>XLOOKUP(C99,Sources!$A:$A,Sources!$K:$K,"À décider")</x:f>
        <x:v>À décider</x:v>
      </x:c>
      <x:c r="AL99" t="str">
        <x:f>XLOOKUP(C99,Sources!$A:$A,Sources!$L:$L,"Non")</x:f>
        <x:v>Non</x:v>
      </x:c>
      <x:c r="AM99" t="str">
        <x:f>XLOOKUP(C99,Sources!$A:$A,Sources!$M:$M,"Non")</x:f>
        <x:v>Non</x:v>
      </x:c>
      <x:c r="AN99" t="str">
        <x:f>XLOOKUP(C99,Sources!$A:$A,Sources!$N:$N,"À valider")</x:f>
        <x:v>À valider</x:v>
      </x:c>
    </x:row>
    <x:row r="100" ht="18" customHeight="1">
      <x:c r="A100" s="12" t="str">
        <x:v>STAB0099</x:v>
      </x:c>
      <x:c r="B100" s="12" t="str">
        <x:v>Fosfomycine IV</x:v>
      </x:c>
      <x:c r="C100" s="12" t="str">
        <x:v>SRC011</x:v>
      </x:c>
      <x:c r="D100" s="12" t="str">
        <x:v>NEOPUMP – données internes fabricant élastomère</x:v>
      </x:c>
      <x:c r="E100" s="12" t="str">
        <x:v>Protocole local</x:v>
      </x:c>
      <x:c r="F100" s="12" t="str">
        <x:v>elastomere</x:v>
      </x:c>
      <x:c r="G100" s="12" t="str">
        <x:v>Diffuseur élastomère</x:v>
      </x:c>
      <x:c r="H100" s="12" t="str">
        <x:v>Diffuseur élastomère Easyflow/NEOPUMP ; données internes fabricant </x:v>
      </x:c>
      <x:c r="I100" s="12" t="str">
        <x:v>Oui</x:v>
      </x:c>
      <x:c r="J100" s="12" t="str">
        <x:v>Non</x:v>
      </x:c>
      <x:c r="K100" s="12" t="str">
        <x:v>NaCl 0,9 %</x:v>
      </x:c>
      <x:c r="L100" s="12"/>
      <x:c r="M100" s="12" t="n">
        <x:v>2</x:v>
      </x:c>
      <x:c r="N100" s="12" t="str">
        <x:v>mg/mL</x:v>
      </x:c>
      <x:c r="O100" s="12"/>
      <x:c r="P100" s="12"/>
      <x:c r="Q100" s="12" t="n">
        <x:v>25</x:v>
      </x:c>
      <x:c r="R100" s="12" t="n">
        <x:v>32</x:v>
      </x:c>
      <x:c r="S100" s="12" t="str">
        <x:v>25°C, 32°C</x:v>
      </x:c>
      <x:c r="T100" s="12" t="n">
        <x:v>120</x:v>
      </x:c>
      <x:c r="U100" s="12"/>
      <x:c r="V100" s="12" t="str"/>
      <x:c r="W100" s="12" t="str"/>
      <x:c r="X100" s="12" t="str"/>
      <x:c r="Y100" s="12" t="str"/>
      <x:c r="Z100" s="12" t="str">
        <x:v>À compléter</x:v>
      </x:c>
      <x:c r="AA100" s="12" t="str">
        <x:v>NEOPUMP élastomère 24 h</x:v>
      </x:c>
      <x:c r="AB100" s="12" t="str">
        <x:v>OK</x:v>
      </x:c>
      <x:c r="AC100" s="12" t="str">
        <x:v>À vérifier</x:v>
      </x:c>
      <x:c r="AD100" s="12" t="str"/>
      <x:c r="AE100" s="12" t="str"/>
      <x:c r="AF100" s="12" t="str">
        <x:v>NaCl 0,9 % ; conc 2 mg/mL et 8 mg/mL : stab 24 h à 25°C et 32°C ; conc 30 mg/mL : stab 5 j à 25°C</x:v>
      </x:c>
      <x:c r="AG100" s="12" t="str">
        <x:v>Donnée spécifique diffuseur élastomère.</x:v>
      </x:c>
      <x:c r="AH100" s="12" t="str"/>
      <x:c r="AI100" s="12" t="str"/>
      <x:c r="AJ100" t="str">
        <x:f>XLOOKUP(C100,Sources!$A:$A,Sources!$J:$J,"Non")</x:f>
        <x:v>Non</x:v>
      </x:c>
      <x:c r="AK100" t="str">
        <x:f>XLOOKUP(C100,Sources!$A:$A,Sources!$K:$K,"À décider")</x:f>
        <x:v>À décider</x:v>
      </x:c>
      <x:c r="AL100" t="str">
        <x:f>XLOOKUP(C100,Sources!$A:$A,Sources!$L:$L,"Non")</x:f>
        <x:v>Non</x:v>
      </x:c>
      <x:c r="AM100" t="str">
        <x:f>XLOOKUP(C100,Sources!$A:$A,Sources!$M:$M,"Non")</x:f>
        <x:v>Non</x:v>
      </x:c>
      <x:c r="AN100" t="str">
        <x:f>XLOOKUP(C100,Sources!$A:$A,Sources!$N:$N,"À valider")</x:f>
        <x:v>À valider</x:v>
      </x:c>
    </x:row>
    <x:row r="101" ht="18" customHeight="1">
      <x:c r="A101" s="12" t="str">
        <x:v>STAB0100</x:v>
      </x:c>
      <x:c r="B101" s="12" t="str">
        <x:v>Gentamicine</x:v>
      </x:c>
      <x:c r="C101" s="12" t="str">
        <x:v>SRC011</x:v>
      </x:c>
      <x:c r="D101" s="12" t="str">
        <x:v>NEOPUMP – données internes fabricant élastomère</x:v>
      </x:c>
      <x:c r="E101" s="12" t="str">
        <x:v>Protocole local</x:v>
      </x:c>
      <x:c r="F101" s="12" t="str">
        <x:v>elastomere</x:v>
      </x:c>
      <x:c r="G101" s="12" t="str">
        <x:v>Diffuseur élastomère</x:v>
      </x:c>
      <x:c r="H101" s="12" t="str">
        <x:v>Diffuseur élastomère Easyflow/NEOPUMP ; données internes fabricant </x:v>
      </x:c>
      <x:c r="I101" s="12" t="str">
        <x:v>Oui</x:v>
      </x:c>
      <x:c r="J101" s="12" t="str">
        <x:v>Non</x:v>
      </x:c>
      <x:c r="K101" s="12" t="str">
        <x:v>NaCl 0,9 %</x:v>
      </x:c>
      <x:c r="L101" s="12"/>
      <x:c r="M101" s="12" t="n">
        <x:v>5</x:v>
      </x:c>
      <x:c r="N101" s="12" t="str">
        <x:v>mg/mL</x:v>
      </x:c>
      <x:c r="O101" s="12"/>
      <x:c r="P101" s="12"/>
      <x:c r="Q101" s="12" t="n">
        <x:v>25</x:v>
      </x:c>
      <x:c r="R101" s="12" t="n">
        <x:v>32</x:v>
      </x:c>
      <x:c r="S101" s="12" t="str">
        <x:v>25°C, 32°C</x:v>
      </x:c>
      <x:c r="T101" s="12" t="n">
        <x:v>24</x:v>
      </x:c>
      <x:c r="U101" s="12"/>
      <x:c r="V101" s="12" t="str"/>
      <x:c r="W101" s="12" t="str"/>
      <x:c r="X101" s="12" t="str"/>
      <x:c r="Y101" s="12" t="str"/>
      <x:c r="Z101" s="12" t="str">
        <x:v>À compléter</x:v>
      </x:c>
      <x:c r="AA101" s="12" t="str">
        <x:v>NEOPUMP élastomère 24 h physicochimique</x:v>
      </x:c>
      <x:c r="AB101" s="12" t="str">
        <x:v>OK</x:v>
      </x:c>
      <x:c r="AC101" s="12" t="str">
        <x:v>À vérifier</x:v>
      </x:c>
      <x:c r="AD101" s="12" t="str"/>
      <x:c r="AE101" s="12" t="str"/>
      <x:c r="AF101" s="12" t="str">
        <x:v>NaCl 0,9 % ; conc 5 mg/mL et 8 mg/mL ; stab 24 h à 25°C et 32°C</x:v>
      </x:c>
      <x:c r="AG101" s="12" t="str">
        <x:v>Stabilité physicochimique ≠ recommandation clinique de perfusion continue pour aminoside.</x:v>
      </x:c>
      <x:c r="AH101" s="12" t="str"/>
      <x:c r="AI101" s="12" t="str"/>
      <x:c r="AJ101" t="str">
        <x:f>XLOOKUP(C101,Sources!$A:$A,Sources!$J:$J,"Non")</x:f>
        <x:v>Non</x:v>
      </x:c>
      <x:c r="AK101" t="str">
        <x:f>XLOOKUP(C101,Sources!$A:$A,Sources!$K:$K,"À décider")</x:f>
        <x:v>À décider</x:v>
      </x:c>
      <x:c r="AL101" t="str">
        <x:f>XLOOKUP(C101,Sources!$A:$A,Sources!$L:$L,"Non")</x:f>
        <x:v>Non</x:v>
      </x:c>
      <x:c r="AM101" t="str">
        <x:f>XLOOKUP(C101,Sources!$A:$A,Sources!$M:$M,"Non")</x:f>
        <x:v>Non</x:v>
      </x:c>
      <x:c r="AN101" t="str">
        <x:f>XLOOKUP(C101,Sources!$A:$A,Sources!$N:$N,"À valider")</x:f>
        <x:v>À valider</x:v>
      </x:c>
    </x:row>
    <x:row r="102" ht="18" customHeight="1">
      <x:c r="A102" s="12" t="str">
        <x:v>STAB0101</x:v>
      </x:c>
      <x:c r="B102" s="12" t="str">
        <x:v>Imipénème/cilastatine</x:v>
      </x:c>
      <x:c r="C102" s="12" t="str">
        <x:v>SRC011</x:v>
      </x:c>
      <x:c r="D102" s="12" t="str">
        <x:v>NEOPUMP – données internes fabricant élastomère</x:v>
      </x:c>
      <x:c r="E102" s="12" t="str">
        <x:v>Protocole local</x:v>
      </x:c>
      <x:c r="F102" s="12" t="str">
        <x:v>elastomere</x:v>
      </x:c>
      <x:c r="G102" s="12" t="str">
        <x:v>Diffuseur élastomère</x:v>
      </x:c>
      <x:c r="H102" s="12" t="str">
        <x:v>Diffuseur élastomère Easyflow/NEOPUMP ; données internes fabricant </x:v>
      </x:c>
      <x:c r="I102" s="12" t="str">
        <x:v>Oui</x:v>
      </x:c>
      <x:c r="J102" s="12" t="str">
        <x:v>Non</x:v>
      </x:c>
      <x:c r="K102" s="12" t="str">
        <x:v>NaCl 0,9 %</x:v>
      </x:c>
      <x:c r="L102" s="12" t="n">
        <x:v>5</x:v>
      </x:c>
      <x:c r="M102" s="12" t="n">
        <x:v>5</x:v>
      </x:c>
      <x:c r="N102" s="12" t="str">
        <x:v>mg/mL</x:v>
      </x:c>
      <x:c r="O102" s="12"/>
      <x:c r="P102" s="12"/>
      <x:c r="Q102" s="12" t="n">
        <x:v>25</x:v>
      </x:c>
      <x:c r="R102" s="12" t="n">
        <x:v>32</x:v>
      </x:c>
      <x:c r="S102" s="12" t="str">
        <x:v>25°C, 32°C</x:v>
      </x:c>
      <x:c r="T102" s="12" t="n">
        <x:v>1</x:v>
      </x:c>
      <x:c r="U102" s="12"/>
      <x:c r="V102" s="12" t="str"/>
      <x:c r="W102" s="12" t="str"/>
      <x:c r="X102" s="12" t="str"/>
      <x:c r="Y102" s="12" t="str"/>
      <x:c r="Z102" s="12" t="str">
        <x:v>À compléter</x:v>
      </x:c>
      <x:c r="AA102" s="12" t="str">
        <x:v>NEOPUMP : stabilité très courte</x:v>
      </x:c>
      <x:c r="AB102" s="12" t="str">
        <x:v>OK</x:v>
      </x:c>
      <x:c r="AC102" s="12" t="str">
        <x:v>À vérifier</x:v>
      </x:c>
      <x:c r="AD102" s="12" t="str"/>
      <x:c r="AE102" s="12" t="str"/>
      <x:c r="AF102" s="12" t="str">
        <x:v>NaCl 0,9 % ; conc 5+5 mg/mL et 8+8 mg/mL ; stab 1 h à 25°C et 32°C</x:v>
      </x:c>
      <x:c r="AG102" s="12" t="str">
        <x:v>Pas adapté à une perfusion continue longue sans changement très fréquent.</x:v>
      </x:c>
      <x:c r="AH102" s="12" t="str"/>
      <x:c r="AI102" s="12" t="str"/>
      <x:c r="AJ102" t="str">
        <x:f>XLOOKUP(C102,Sources!$A:$A,Sources!$J:$J,"Non")</x:f>
        <x:v>Non</x:v>
      </x:c>
      <x:c r="AK102" t="str">
        <x:f>XLOOKUP(C102,Sources!$A:$A,Sources!$K:$K,"À décider")</x:f>
        <x:v>À décider</x:v>
      </x:c>
      <x:c r="AL102" t="str">
        <x:f>XLOOKUP(C102,Sources!$A:$A,Sources!$L:$L,"Non")</x:f>
        <x:v>Non</x:v>
      </x:c>
      <x:c r="AM102" t="str">
        <x:f>XLOOKUP(C102,Sources!$A:$A,Sources!$M:$M,"Non")</x:f>
        <x:v>Non</x:v>
      </x:c>
      <x:c r="AN102" t="str">
        <x:f>XLOOKUP(C102,Sources!$A:$A,Sources!$N:$N,"À valider")</x:f>
        <x:v>À valider</x:v>
      </x:c>
    </x:row>
    <x:row r="103" ht="18" customHeight="1">
      <x:c r="A103" s="12" t="str">
        <x:v>STAB0102</x:v>
      </x:c>
      <x:c r="B103" s="12" t="str">
        <x:v>Méropénem</x:v>
      </x:c>
      <x:c r="C103" s="12" t="str">
        <x:v>SRC011</x:v>
      </x:c>
      <x:c r="D103" s="12" t="str">
        <x:v>NEOPUMP – données internes fabricant élastomère</x:v>
      </x:c>
      <x:c r="E103" s="12" t="str">
        <x:v>Protocole local</x:v>
      </x:c>
      <x:c r="F103" s="12" t="str">
        <x:v>elastomere</x:v>
      </x:c>
      <x:c r="G103" s="12" t="str">
        <x:v>Diffuseur élastomère</x:v>
      </x:c>
      <x:c r="H103" s="12" t="str">
        <x:v>Diffuseur élastomère Easyflow/NEOPUMP ; données internes fabricant </x:v>
      </x:c>
      <x:c r="I103" s="12" t="str">
        <x:v>Oui</x:v>
      </x:c>
      <x:c r="J103" s="12" t="str">
        <x:v>Non</x:v>
      </x:c>
      <x:c r="K103" s="12" t="str">
        <x:v>NaCl 0,9 %</x:v>
      </x:c>
      <x:c r="L103" s="12"/>
      <x:c r="M103" s="12" t="n">
        <x:v>20</x:v>
      </x:c>
      <x:c r="N103" s="12" t="str">
        <x:v>mg/mL</x:v>
      </x:c>
      <x:c r="O103" s="12"/>
      <x:c r="P103" s="12"/>
      <x:c r="Q103" s="12" t="n">
        <x:v>4</x:v>
      </x:c>
      <x:c r="R103" s="12" t="n">
        <x:v>32</x:v>
      </x:c>
      <x:c r="S103" s="12" t="str">
        <x:v>4°C, 25°C, 32°C</x:v>
      </x:c>
      <x:c r="T103" s="12" t="n">
        <x:v>168</x:v>
      </x:c>
      <x:c r="U103" s="12"/>
      <x:c r="V103" s="12" t="str"/>
      <x:c r="W103" s="12" t="str"/>
      <x:c r="X103" s="12" t="str"/>
      <x:c r="Y103" s="12" t="str"/>
      <x:c r="Z103" s="12" t="str">
        <x:v>À compléter</x:v>
      </x:c>
      <x:c r="AA103" s="12" t="str">
        <x:v>NEOPUMP : très concentration-dépendant</x:v>
      </x:c>
      <x:c r="AB103" s="12" t="str">
        <x:v>Vigilance</x:v>
      </x:c>
      <x:c r="AC103" s="12" t="str">
        <x:v>À vérifier</x:v>
      </x:c>
      <x:c r="AD103" s="12" t="str"/>
      <x:c r="AE103" s="12" t="str"/>
      <x:c r="AF103" s="12" t="str">
        <x:v>NaCl 0,9 % ; conc 20 mg/mL : stab 7 j à 4°C, 12 h à 25°C, 1 h à 32°C ; conc 25 mg/mL : stab 12 h à 25°C, 1 h à 32°C ; conc 10 mg/mL : stab 4 j à 4°C, 24 h à 25°C et 32°C ; conc 4 mg/mL : stab 7 j à 4°C</x:v>
      </x:c>
      <x:c r="AG103" s="12" t="str">
        <x:v>La stabilité 24 h à 32°C n’est rapportée que pour 10 mg/mL dans le tableau.</x:v>
      </x:c>
      <x:c r="AH103" s="12" t="str"/>
      <x:c r="AI103" s="12" t="str"/>
      <x:c r="AJ103" t="str">
        <x:f>XLOOKUP(C103,Sources!$A:$A,Sources!$J:$J,"Non")</x:f>
        <x:v>Non</x:v>
      </x:c>
      <x:c r="AK103" t="str">
        <x:f>XLOOKUP(C103,Sources!$A:$A,Sources!$K:$K,"À décider")</x:f>
        <x:v>À décider</x:v>
      </x:c>
      <x:c r="AL103" t="str">
        <x:f>XLOOKUP(C103,Sources!$A:$A,Sources!$L:$L,"Non")</x:f>
        <x:v>Non</x:v>
      </x:c>
      <x:c r="AM103" t="str">
        <x:f>XLOOKUP(C103,Sources!$A:$A,Sources!$M:$M,"Non")</x:f>
        <x:v>Non</x:v>
      </x:c>
      <x:c r="AN103" t="str">
        <x:f>XLOOKUP(C103,Sources!$A:$A,Sources!$N:$N,"À valider")</x:f>
        <x:v>À valider</x:v>
      </x:c>
    </x:row>
    <x:row r="104" ht="18" customHeight="1">
      <x:c r="A104" s="12" t="str">
        <x:v>STAB0103</x:v>
      </x:c>
      <x:c r="B104" s="12" t="str">
        <x:v>Oxacilline</x:v>
      </x:c>
      <x:c r="C104" s="12" t="str">
        <x:v>SRC011</x:v>
      </x:c>
      <x:c r="D104" s="12" t="str">
        <x:v>NEOPUMP – données internes fabricant élastomère</x:v>
      </x:c>
      <x:c r="E104" s="12" t="str">
        <x:v>Protocole local</x:v>
      </x:c>
      <x:c r="F104" s="12" t="str">
        <x:v>elastomere</x:v>
      </x:c>
      <x:c r="G104" s="12" t="str">
        <x:v>Diffuseur élastomère</x:v>
      </x:c>
      <x:c r="H104" s="12" t="str">
        <x:v>Diffuseur élastomère Easyflow/NEOPUMP ; données internes fabricant </x:v>
      </x:c>
      <x:c r="I104" s="12" t="str">
        <x:v>Oui</x:v>
      </x:c>
      <x:c r="J104" s="12" t="str">
        <x:v>Non</x:v>
      </x:c>
      <x:c r="K104" s="12" t="str">
        <x:v>NaCl 0,9 %</x:v>
      </x:c>
      <x:c r="L104" s="12"/>
      <x:c r="M104" s="12" t="n">
        <x:v>5</x:v>
      </x:c>
      <x:c r="N104" s="12" t="str">
        <x:v>mg/mL</x:v>
      </x:c>
      <x:c r="O104" s="12"/>
      <x:c r="P104" s="12"/>
      <x:c r="Q104" s="12" t="n">
        <x:v>25</x:v>
      </x:c>
      <x:c r="R104" s="12" t="n">
        <x:v>32</x:v>
      </x:c>
      <x:c r="S104" s="12" t="str">
        <x:v>25°C, 32°C</x:v>
      </x:c>
      <x:c r="T104" s="12" t="n">
        <x:v>24</x:v>
      </x:c>
      <x:c r="U104" s="12"/>
      <x:c r="V104" s="12" t="str"/>
      <x:c r="W104" s="12" t="str"/>
      <x:c r="X104" s="12" t="str"/>
      <x:c r="Y104" s="12" t="str"/>
      <x:c r="Z104" s="12" t="str">
        <x:v>À compléter</x:v>
      </x:c>
      <x:c r="AA104" s="12" t="str">
        <x:v>NEOPUMP : 24 h à 5 mg/mL ; 12 h à 8 mg/mL</x:v>
      </x:c>
      <x:c r="AB104" s="12" t="str">
        <x:v>OK</x:v>
      </x:c>
      <x:c r="AC104" s="12" t="str">
        <x:v>À vérifier</x:v>
      </x:c>
      <x:c r="AD104" s="12" t="str"/>
      <x:c r="AE104" s="12" t="str"/>
      <x:c r="AF104" s="12" t="str">
        <x:v>NaCl 0,9 % ; conc 5 mg/mL : stab 24 h à 25°C et 32°C ; conc 8 mg/mL : stab 12 h à 25°C et 32°C</x:v>
      </x:c>
      <x:c r="AG104" s="12" t="str">
        <x:v>Donnée spécifique diffuseur élastomère.</x:v>
      </x:c>
      <x:c r="AH104" s="12" t="str"/>
      <x:c r="AI104" s="12" t="str"/>
      <x:c r="AJ104" t="str">
        <x:f>XLOOKUP(C104,Sources!$A:$A,Sources!$J:$J,"Non")</x:f>
        <x:v>Non</x:v>
      </x:c>
      <x:c r="AK104" t="str">
        <x:f>XLOOKUP(C104,Sources!$A:$A,Sources!$K:$K,"À décider")</x:f>
        <x:v>À décider</x:v>
      </x:c>
      <x:c r="AL104" t="str">
        <x:f>XLOOKUP(C104,Sources!$A:$A,Sources!$L:$L,"Non")</x:f>
        <x:v>Non</x:v>
      </x:c>
      <x:c r="AM104" t="str">
        <x:f>XLOOKUP(C104,Sources!$A:$A,Sources!$M:$M,"Non")</x:f>
        <x:v>Non</x:v>
      </x:c>
      <x:c r="AN104" t="str">
        <x:f>XLOOKUP(C104,Sources!$A:$A,Sources!$N:$N,"À valider")</x:f>
        <x:v>À valider</x:v>
      </x:c>
    </x:row>
    <x:row r="105" ht="18" customHeight="1">
      <x:c r="A105" s="12" t="str">
        <x:v>STAB0104</x:v>
      </x:c>
      <x:c r="B105" s="12" t="str">
        <x:v>Pipéracilline</x:v>
      </x:c>
      <x:c r="C105" s="12" t="str">
        <x:v>SRC011</x:v>
      </x:c>
      <x:c r="D105" s="12" t="str">
        <x:v>NEOPUMP – données internes fabricant élastomère</x:v>
      </x:c>
      <x:c r="E105" s="12" t="str">
        <x:v>Protocole local</x:v>
      </x:c>
      <x:c r="F105" s="12" t="str">
        <x:v>elastomere</x:v>
      </x:c>
      <x:c r="G105" s="12" t="str">
        <x:v>Diffuseur élastomère</x:v>
      </x:c>
      <x:c r="H105" s="12" t="str">
        <x:v>Diffuseur élastomère Easyflow/NEOPUMP ; données internes fabricant </x:v>
      </x:c>
      <x:c r="I105" s="12" t="str">
        <x:v>Oui</x:v>
      </x:c>
      <x:c r="J105" s="12" t="str">
        <x:v>Non</x:v>
      </x:c>
      <x:c r="K105" s="12" t="str">
        <x:v>NaCl 0,9 %</x:v>
      </x:c>
      <x:c r="L105" s="12"/>
      <x:c r="M105" s="12" t="n">
        <x:v>10</x:v>
      </x:c>
      <x:c r="N105" s="12" t="str">
        <x:v>mg/mL</x:v>
      </x:c>
      <x:c r="O105" s="12"/>
      <x:c r="P105" s="12"/>
      <x:c r="Q105" s="12" t="n">
        <x:v>25</x:v>
      </x:c>
      <x:c r="R105" s="12" t="n">
        <x:v>32</x:v>
      </x:c>
      <x:c r="S105" s="12" t="str">
        <x:v>25°C, 32°C</x:v>
      </x:c>
      <x:c r="T105" s="12" t="n">
        <x:v>24</x:v>
      </x:c>
      <x:c r="U105" s="12"/>
      <x:c r="V105" s="12" t="str"/>
      <x:c r="W105" s="12" t="str"/>
      <x:c r="X105" s="12" t="str"/>
      <x:c r="Y105" s="12" t="str"/>
      <x:c r="Z105" s="12" t="str">
        <x:v>À compléter</x:v>
      </x:c>
      <x:c r="AA105" s="12" t="str">
        <x:v>NEOPUMP élastomère 24 h</x:v>
      </x:c>
      <x:c r="AB105" s="12" t="str">
        <x:v>OK</x:v>
      </x:c>
      <x:c r="AC105" s="12" t="str">
        <x:v>À vérifier</x:v>
      </x:c>
      <x:c r="AD105" s="12" t="str"/>
      <x:c r="AE105" s="12" t="str"/>
      <x:c r="AF105" s="12" t="str">
        <x:v>NaCl 0,9 % ; conc 10 mg/mL et 33 mg/mL ; stab 24 h à 25°C et 32°C</x:v>
      </x:c>
      <x:c r="AG105" s="12" t="str">
        <x:v>Donnée spécifique diffuseur élastomère.</x:v>
      </x:c>
      <x:c r="AH105" s="12" t="str"/>
      <x:c r="AI105" s="12" t="str"/>
      <x:c r="AJ105" t="str">
        <x:f>XLOOKUP(C105,Sources!$A:$A,Sources!$J:$J,"Non")</x:f>
        <x:v>Non</x:v>
      </x:c>
      <x:c r="AK105" t="str">
        <x:f>XLOOKUP(C105,Sources!$A:$A,Sources!$K:$K,"À décider")</x:f>
        <x:v>À décider</x:v>
      </x:c>
      <x:c r="AL105" t="str">
        <x:f>XLOOKUP(C105,Sources!$A:$A,Sources!$L:$L,"Non")</x:f>
        <x:v>Non</x:v>
      </x:c>
      <x:c r="AM105" t="str">
        <x:f>XLOOKUP(C105,Sources!$A:$A,Sources!$M:$M,"Non")</x:f>
        <x:v>Non</x:v>
      </x:c>
      <x:c r="AN105" t="str">
        <x:f>XLOOKUP(C105,Sources!$A:$A,Sources!$N:$N,"À valider")</x:f>
        <x:v>À valider</x:v>
      </x:c>
    </x:row>
    <x:row r="106" ht="18" customHeight="1">
      <x:c r="A106" s="12" t="str">
        <x:v>STAB0105</x:v>
      </x:c>
      <x:c r="B106" s="12" t="str">
        <x:v>Pipéracilline/tazobactam</x:v>
      </x:c>
      <x:c r="C106" s="12" t="str">
        <x:v>SRC011</x:v>
      </x:c>
      <x:c r="D106" s="12" t="str">
        <x:v>NEOPUMP – données internes fabricant élastomère</x:v>
      </x:c>
      <x:c r="E106" s="12" t="str">
        <x:v>Protocole local</x:v>
      </x:c>
      <x:c r="F106" s="12" t="str">
        <x:v>elastomere</x:v>
      </x:c>
      <x:c r="G106" s="12" t="str">
        <x:v>Diffuseur élastomère</x:v>
      </x:c>
      <x:c r="H106" s="12" t="str">
        <x:v>Diffuseur élastomère Easyflow/NEOPUMP ; données internes fabricant </x:v>
      </x:c>
      <x:c r="I106" s="12" t="str">
        <x:v>Oui</x:v>
      </x:c>
      <x:c r="J106" s="12" t="str">
        <x:v>Non</x:v>
      </x:c>
      <x:c r="K106" s="12" t="str">
        <x:v>NaCl 0,9 %</x:v>
      </x:c>
      <x:c r="L106" s="12"/>
      <x:c r="M106" s="12" t="n">
        <x:v>45</x:v>
      </x:c>
      <x:c r="N106" s="12" t="str">
        <x:v>mg/mL</x:v>
      </x:c>
      <x:c r="O106" s="12"/>
      <x:c r="P106" s="12"/>
      <x:c r="Q106" s="12" t="n">
        <x:v>4</x:v>
      </x:c>
      <x:c r="R106" s="12" t="n">
        <x:v>32</x:v>
      </x:c>
      <x:c r="S106" s="12" t="str">
        <x:v>4°C, 25°C, 32°C</x:v>
      </x:c>
      <x:c r="T106" s="12" t="n">
        <x:v>168</x:v>
      </x:c>
      <x:c r="U106" s="12"/>
      <x:c r="V106" s="12" t="str"/>
      <x:c r="W106" s="12" t="str"/>
      <x:c r="X106" s="12" t="str"/>
      <x:c r="Y106" s="12" t="str"/>
      <x:c r="Z106" s="12" t="str">
        <x:v>À compléter</x:v>
      </x:c>
      <x:c r="AA106" s="12" t="str">
        <x:v>NEOPUMP élastomère 24 h</x:v>
      </x:c>
      <x:c r="AB106" s="12" t="str">
        <x:v>OK</x:v>
      </x:c>
      <x:c r="AC106" s="12" t="str">
        <x:v>À vérifier</x:v>
      </x:c>
      <x:c r="AD106" s="12" t="str"/>
      <x:c r="AE106" s="12" t="str"/>
      <x:c r="AF106" s="12" t="str">
        <x:v>NaCl 0,9 % ; conc 45 mg/mL (4 g+0,5 g/100 mL) et 80 mg/mL (16 g+2 g/240 mL) : stab 24 h à 25°C et 32°C ; conc 40+5 mg/mL : stab 7 j à 4°C et 25°C</x:v>
      </x:c>
      <x:c r="AG106" s="12" t="str">
        <x:v>Donnée spécifique diffuseur élastomère.</x:v>
      </x:c>
      <x:c r="AH106" s="12" t="str"/>
      <x:c r="AI106" s="12" t="str"/>
      <x:c r="AJ106" t="str">
        <x:f>XLOOKUP(C106,Sources!$A:$A,Sources!$J:$J,"Non")</x:f>
        <x:v>Non</x:v>
      </x:c>
      <x:c r="AK106" t="str">
        <x:f>XLOOKUP(C106,Sources!$A:$A,Sources!$K:$K,"À décider")</x:f>
        <x:v>À décider</x:v>
      </x:c>
      <x:c r="AL106" t="str">
        <x:f>XLOOKUP(C106,Sources!$A:$A,Sources!$L:$L,"Non")</x:f>
        <x:v>Non</x:v>
      </x:c>
      <x:c r="AM106" t="str">
        <x:f>XLOOKUP(C106,Sources!$A:$A,Sources!$M:$M,"Non")</x:f>
        <x:v>Non</x:v>
      </x:c>
      <x:c r="AN106" t="str">
        <x:f>XLOOKUP(C106,Sources!$A:$A,Sources!$N:$N,"À valider")</x:f>
        <x:v>À valider</x:v>
      </x:c>
    </x:row>
    <x:row r="107" ht="18" customHeight="1">
      <x:c r="A107" s="12" t="str">
        <x:v>STAB0106</x:v>
      </x:c>
      <x:c r="B107" s="12" t="str">
        <x:v>Rifampicine IV</x:v>
      </x:c>
      <x:c r="C107" s="12" t="str">
        <x:v>SRC011</x:v>
      </x:c>
      <x:c r="D107" s="12" t="str">
        <x:v>NEOPUMP – données internes fabricant élastomère</x:v>
      </x:c>
      <x:c r="E107" s="12" t="str">
        <x:v>Protocole local</x:v>
      </x:c>
      <x:c r="F107" s="12" t="str">
        <x:v>elastomere</x:v>
      </x:c>
      <x:c r="G107" s="12" t="str">
        <x:v>Diffuseur élastomère</x:v>
      </x:c>
      <x:c r="H107" s="12" t="str">
        <x:v>Diffuseur élastomère Easyflow/NEOPUMP ; données internes fabricant </x:v>
      </x:c>
      <x:c r="I107" s="12" t="str">
        <x:v>Oui</x:v>
      </x:c>
      <x:c r="J107" s="12" t="str">
        <x:v>Non</x:v>
      </x:c>
      <x:c r="K107" s="12" t="str">
        <x:v>NaCl 0,9 %</x:v>
      </x:c>
      <x:c r="L107" s="12"/>
      <x:c r="M107" s="12" t="n">
        <x:v>0.5</x:v>
      </x:c>
      <x:c r="N107" s="12" t="str">
        <x:v>mg/mL</x:v>
      </x:c>
      <x:c r="O107" s="12"/>
      <x:c r="P107" s="12"/>
      <x:c r="Q107" s="12" t="n">
        <x:v>25</x:v>
      </x:c>
      <x:c r="R107" s="12" t="n">
        <x:v>32</x:v>
      </x:c>
      <x:c r="S107" s="12" t="str">
        <x:v>25°C, 32°C</x:v>
      </x:c>
      <x:c r="T107" s="12" t="n">
        <x:v>24</x:v>
      </x:c>
      <x:c r="U107" s="12"/>
      <x:c r="V107" s="12" t="str"/>
      <x:c r="W107" s="12" t="str"/>
      <x:c r="X107" s="12" t="str"/>
      <x:c r="Y107" s="12" t="str"/>
      <x:c r="Z107" s="12" t="str">
        <x:v>À compléter</x:v>
      </x:c>
      <x:c r="AA107" s="12" t="str">
        <x:v>NEOPUMP : dépend concentration</x:v>
      </x:c>
      <x:c r="AB107" s="12" t="str">
        <x:v>Vigilance</x:v>
      </x:c>
      <x:c r="AC107" s="12" t="str">
        <x:v>À vérifier</x:v>
      </x:c>
      <x:c r="AD107" s="12" t="str"/>
      <x:c r="AE107" s="12" t="str"/>
      <x:c r="AF107" s="12" t="str">
        <x:v>NaCl 0,9 % ; conc 0,5 mg/mL : stab 24 h à 25°C et 32°C ; conc 3 mg/mL : stab 6 h à 25°C et 32°C</x:v>
      </x:c>
      <x:c r="AG107" s="12" t="str">
        <x:v>Attention : autres sources indiquent incompatibilité NaCl pour la préparation usuelle ; donnée NEOPUMP à vérifier avant transposition.</x:v>
      </x:c>
      <x:c r="AH107" s="12" t="str"/>
      <x:c r="AI107" s="12" t="str"/>
      <x:c r="AJ107" t="str">
        <x:f>XLOOKUP(C107,Sources!$A:$A,Sources!$J:$J,"Non")</x:f>
        <x:v>Non</x:v>
      </x:c>
      <x:c r="AK107" t="str">
        <x:f>XLOOKUP(C107,Sources!$A:$A,Sources!$K:$K,"À décider")</x:f>
        <x:v>À décider</x:v>
      </x:c>
      <x:c r="AL107" t="str">
        <x:f>XLOOKUP(C107,Sources!$A:$A,Sources!$L:$L,"Non")</x:f>
        <x:v>Non</x:v>
      </x:c>
      <x:c r="AM107" t="str">
        <x:f>XLOOKUP(C107,Sources!$A:$A,Sources!$M:$M,"Non")</x:f>
        <x:v>Non</x:v>
      </x:c>
      <x:c r="AN107" t="str">
        <x:f>XLOOKUP(C107,Sources!$A:$A,Sources!$N:$N,"À valider")</x:f>
        <x:v>À valider</x:v>
      </x:c>
    </x:row>
    <x:row r="108" ht="18" customHeight="1">
      <x:c r="A108" s="12" t="str">
        <x:v>STAB0107</x:v>
      </x:c>
      <x:c r="B108" s="12" t="str">
        <x:v>Teicoplanine</x:v>
      </x:c>
      <x:c r="C108" s="12" t="str">
        <x:v>SRC011</x:v>
      </x:c>
      <x:c r="D108" s="12" t="str">
        <x:v>NEOPUMP – données internes fabricant élastomère</x:v>
      </x:c>
      <x:c r="E108" s="12" t="str">
        <x:v>Protocole local</x:v>
      </x:c>
      <x:c r="F108" s="12" t="str">
        <x:v>elastomere</x:v>
      </x:c>
      <x:c r="G108" s="12" t="str">
        <x:v>Diffuseur élastomère</x:v>
      </x:c>
      <x:c r="H108" s="12" t="str">
        <x:v>Diffuseur élastomère Easyflow/NEOPUMP ; données internes fabricant </x:v>
      </x:c>
      <x:c r="I108" s="12" t="str">
        <x:v>Oui</x:v>
      </x:c>
      <x:c r="J108" s="12" t="str">
        <x:v>Non</x:v>
      </x:c>
      <x:c r="K108" s="12" t="str">
        <x:v>NaCl 0,9 %</x:v>
      </x:c>
      <x:c r="L108" s="12"/>
      <x:c r="M108" s="12" t="n">
        <x:v>4</x:v>
      </x:c>
      <x:c r="N108" s="12" t="str">
        <x:v>mg/mL</x:v>
      </x:c>
      <x:c r="O108" s="12"/>
      <x:c r="P108" s="12"/>
      <x:c r="Q108" s="12" t="n">
        <x:v>4</x:v>
      </x:c>
      <x:c r="R108" s="12" t="n">
        <x:v>32</x:v>
      </x:c>
      <x:c r="S108" s="12" t="str">
        <x:v>4°C, 32°C</x:v>
      </x:c>
      <x:c r="T108" s="12" t="n">
        <x:v>24</x:v>
      </x:c>
      <x:c r="U108" s="12"/>
      <x:c r="V108" s="12" t="str"/>
      <x:c r="W108" s="12" t="str"/>
      <x:c r="X108" s="12" t="str"/>
      <x:c r="Y108" s="12" t="str"/>
      <x:c r="Z108" s="12" t="str">
        <x:v>À compléter</x:v>
      </x:c>
      <x:c r="AA108" s="12" t="str">
        <x:v>NEOPUMP : donnée réfrigérée uniquement</x:v>
      </x:c>
      <x:c r="AB108" s="12" t="str">
        <x:v>OK</x:v>
      </x:c>
      <x:c r="AC108" s="12" t="str">
        <x:v>À vérifier</x:v>
      </x:c>
      <x:c r="AD108" s="12" t="str"/>
      <x:c r="AE108" s="12" t="str"/>
      <x:c r="AF108" s="12" t="str">
        <x:v>NaCl 0,9 % ; conc 4 mg/mL ; stab 24 h à 4°C ; pas de donnée 25/32°C dans le tableau</x:v>
      </x:c>
      <x:c r="AG108" s="12" t="str">
        <x:v>Pas de stabilité ambiante exploitable dans le tableau.</x:v>
      </x:c>
      <x:c r="AH108" s="12" t="str"/>
      <x:c r="AI108" s="12" t="str"/>
      <x:c r="AJ108" t="str">
        <x:f>XLOOKUP(C108,Sources!$A:$A,Sources!$J:$J,"Non")</x:f>
        <x:v>Non</x:v>
      </x:c>
      <x:c r="AK108" t="str">
        <x:f>XLOOKUP(C108,Sources!$A:$A,Sources!$K:$K,"À décider")</x:f>
        <x:v>À décider</x:v>
      </x:c>
      <x:c r="AL108" t="str">
        <x:f>XLOOKUP(C108,Sources!$A:$A,Sources!$L:$L,"Non")</x:f>
        <x:v>Non</x:v>
      </x:c>
      <x:c r="AM108" t="str">
        <x:f>XLOOKUP(C108,Sources!$A:$A,Sources!$M:$M,"Non")</x:f>
        <x:v>Non</x:v>
      </x:c>
      <x:c r="AN108" t="str">
        <x:f>XLOOKUP(C108,Sources!$A:$A,Sources!$N:$N,"À valider")</x:f>
        <x:v>À valider</x:v>
      </x:c>
    </x:row>
    <x:row r="109" ht="18" customHeight="1">
      <x:c r="A109" s="12" t="str">
        <x:v>STAB0108</x:v>
      </x:c>
      <x:c r="B109" s="12" t="str">
        <x:v>Tobramycine</x:v>
      </x:c>
      <x:c r="C109" s="12" t="str">
        <x:v>SRC011</x:v>
      </x:c>
      <x:c r="D109" s="12" t="str">
        <x:v>NEOPUMP – données internes fabricant élastomère</x:v>
      </x:c>
      <x:c r="E109" s="12" t="str">
        <x:v>Protocole local</x:v>
      </x:c>
      <x:c r="F109" s="12" t="str">
        <x:v>elastomere</x:v>
      </x:c>
      <x:c r="G109" s="12" t="str">
        <x:v>Diffuseur élastomère</x:v>
      </x:c>
      <x:c r="H109" s="12" t="str">
        <x:v>Diffuseur élastomère Easyflow/NEOPUMP ; données internes fabricant </x:v>
      </x:c>
      <x:c r="I109" s="12" t="str">
        <x:v>Oui</x:v>
      </x:c>
      <x:c r="J109" s="12" t="str">
        <x:v>Non</x:v>
      </x:c>
      <x:c r="K109" s="12" t="str">
        <x:v>NaCl 0,9 %</x:v>
      </x:c>
      <x:c r="L109" s="12"/>
      <x:c r="M109" s="12" t="n">
        <x:v>1</x:v>
      </x:c>
      <x:c r="N109" s="12" t="str">
        <x:v>mg/mL</x:v>
      </x:c>
      <x:c r="O109" s="12"/>
      <x:c r="P109" s="12"/>
      <x:c r="Q109" s="12" t="n">
        <x:v>4</x:v>
      </x:c>
      <x:c r="R109" s="12" t="n">
        <x:v>32</x:v>
      </x:c>
      <x:c r="S109" s="12" t="str">
        <x:v>4°C, 25°C, 32°C</x:v>
      </x:c>
      <x:c r="T109" s="12" t="n">
        <x:v>240</x:v>
      </x:c>
      <x:c r="U109" s="12"/>
      <x:c r="V109" s="12" t="str"/>
      <x:c r="W109" s="12" t="str"/>
      <x:c r="X109" s="12" t="str"/>
      <x:c r="Y109" s="12" t="str"/>
      <x:c r="Z109" s="12" t="str">
        <x:v>À compléter</x:v>
      </x:c>
      <x:c r="AA109" s="12" t="str">
        <x:v>NEOPUMP élastomère 24 h physicochimique</x:v>
      </x:c>
      <x:c r="AB109" s="12" t="str">
        <x:v>OK</x:v>
      </x:c>
      <x:c r="AC109" s="12" t="str">
        <x:v>À vérifier</x:v>
      </x:c>
      <x:c r="AD109" s="12" t="str"/>
      <x:c r="AE109" s="12" t="str"/>
      <x:c r="AF109" s="12" t="str">
        <x:v>NaCl 0,9 % ; conc 1 mg/mL et 7,5 mg/mL : stab 24 h à 25°C et 32°C ; conc 4 mg/mL : stab 10 j à 4°C</x:v>
      </x:c>
      <x:c r="AG109" s="12" t="str">
        <x:v>Stabilité physicochimique ≠ recommandation clinique de perfusion continue pour aminoside.</x:v>
      </x:c>
      <x:c r="AH109" s="12" t="str"/>
      <x:c r="AI109" s="12" t="str"/>
      <x:c r="AJ109" t="str">
        <x:f>XLOOKUP(C109,Sources!$A:$A,Sources!$J:$J,"Non")</x:f>
        <x:v>Non</x:v>
      </x:c>
      <x:c r="AK109" t="str">
        <x:f>XLOOKUP(C109,Sources!$A:$A,Sources!$K:$K,"À décider")</x:f>
        <x:v>À décider</x:v>
      </x:c>
      <x:c r="AL109" t="str">
        <x:f>XLOOKUP(C109,Sources!$A:$A,Sources!$L:$L,"Non")</x:f>
        <x:v>Non</x:v>
      </x:c>
      <x:c r="AM109" t="str">
        <x:f>XLOOKUP(C109,Sources!$A:$A,Sources!$M:$M,"Non")</x:f>
        <x:v>Non</x:v>
      </x:c>
      <x:c r="AN109" t="str">
        <x:f>XLOOKUP(C109,Sources!$A:$A,Sources!$N:$N,"À valider")</x:f>
        <x:v>À valider</x:v>
      </x:c>
    </x:row>
    <x:row r="110" ht="18" customHeight="1">
      <x:c r="A110" s="12" t="str">
        <x:v>STAB0109</x:v>
      </x:c>
      <x:c r="B110" s="12" t="str">
        <x:v>Vancomycine</x:v>
      </x:c>
      <x:c r="C110" s="12" t="str">
        <x:v>SRC011</x:v>
      </x:c>
      <x:c r="D110" s="12" t="str">
        <x:v>NEOPUMP – données internes fabricant élastomère</x:v>
      </x:c>
      <x:c r="E110" s="12" t="str">
        <x:v>Protocole local</x:v>
      </x:c>
      <x:c r="F110" s="12" t="str">
        <x:v>elastomere</x:v>
      </x:c>
      <x:c r="G110" s="12" t="str">
        <x:v>Diffuseur élastomère</x:v>
      </x:c>
      <x:c r="H110" s="12" t="str">
        <x:v>Diffuseur élastomère Easyflow/NEOPUMP ; données internes fabricant </x:v>
      </x:c>
      <x:c r="I110" s="12" t="str">
        <x:v>Oui</x:v>
      </x:c>
      <x:c r="J110" s="12" t="str">
        <x:v>Non</x:v>
      </x:c>
      <x:c r="K110" s="12" t="str">
        <x:v>NaCl 0,9 %</x:v>
      </x:c>
      <x:c r="L110" s="12"/>
      <x:c r="M110" s="12" t="n">
        <x:v>5</x:v>
      </x:c>
      <x:c r="N110" s="12" t="str">
        <x:v>mg/mL</x:v>
      </x:c>
      <x:c r="O110" s="12"/>
      <x:c r="P110" s="12"/>
      <x:c r="Q110" s="12" t="n">
        <x:v>4</x:v>
      </x:c>
      <x:c r="R110" s="12" t="n">
        <x:v>32</x:v>
      </x:c>
      <x:c r="S110" s="12" t="str">
        <x:v>4°C, 25°C, 32°C</x:v>
      </x:c>
      <x:c r="T110" s="12" t="n">
        <x:v>336</x:v>
      </x:c>
      <x:c r="U110" s="12"/>
      <x:c r="V110" s="12" t="str"/>
      <x:c r="W110" s="12" t="str"/>
      <x:c r="X110" s="12" t="str"/>
      <x:c r="Y110" s="12" t="str"/>
      <x:c r="Z110" s="12" t="str">
        <x:v>À compléter</x:v>
      </x:c>
      <x:c r="AA110" s="12" t="str">
        <x:v>NEOPUMP élastomère 24 h</x:v>
      </x:c>
      <x:c r="AB110" s="12" t="str">
        <x:v>OK</x:v>
      </x:c>
      <x:c r="AC110" s="12" t="str">
        <x:v>À vérifier</x:v>
      </x:c>
      <x:c r="AD110" s="12" t="str"/>
      <x:c r="AE110" s="12" t="str"/>
      <x:c r="AF110" s="12" t="str">
        <x:v>NaCl 0,9 % ; conc 5 mg/mL et 8 mg/mL : stab 24 h à 25°C et 32°C ; conc 4 mg/mL : stab 14 j à 4°C et 25°C</x:v>
      </x:c>
      <x:c r="AG110" s="12" t="str">
        <x:v>Donnée spécifique diffuseur élastomère.</x:v>
      </x:c>
      <x:c r="AH110" s="12" t="str"/>
      <x:c r="AI110" s="12" t="str"/>
      <x:c r="AJ110" t="str">
        <x:f>XLOOKUP(C110,Sources!$A:$A,Sources!$J:$J,"Non")</x:f>
        <x:v>Non</x:v>
      </x:c>
      <x:c r="AK110" t="str">
        <x:f>XLOOKUP(C110,Sources!$A:$A,Sources!$K:$K,"À décider")</x:f>
        <x:v>À décider</x:v>
      </x:c>
      <x:c r="AL110" t="str">
        <x:f>XLOOKUP(C110,Sources!$A:$A,Sources!$L:$L,"Non")</x:f>
        <x:v>Non</x:v>
      </x:c>
      <x:c r="AM110" t="str">
        <x:f>XLOOKUP(C110,Sources!$A:$A,Sources!$M:$M,"Non")</x:f>
        <x:v>Non</x:v>
      </x:c>
      <x:c r="AN110" t="str">
        <x:f>XLOOKUP(C110,Sources!$A:$A,Sources!$N:$N,"À valider")</x:f>
        <x:v>À valider</x:v>
      </x:c>
    </x:row>
    <x:row r="111" ht="18" customHeight="1">
      <x:c r="A111" s="12" t="str">
        <x:v>STAB0110</x:v>
      </x:c>
      <x:c r="B111" s="12" t="str">
        <x:v>Ciprofloxacine</x:v>
      </x:c>
      <x:c r="C111" s="12" t="str">
        <x:v>SRC010</x:v>
      </x:c>
      <x:c r="D111" s="12" t="str">
        <x:v>Micrel – données internes du laboratoire</x:v>
      </x:c>
      <x:c r="E111" s="12" t="str">
        <x:v>Protocole local</x:v>
      </x:c>
      <x:c r="F111" s="12" t="str">
        <x:v>micrel</x:v>
      </x:c>
      <x:c r="G111" s="12" t="str">
        <x:v>Pompe Rythmic / Micrel</x:v>
      </x:c>
      <x:c r="H111" s="12" t="str">
        <x:v>Pompe Rythmic PVC</x:v>
      </x:c>
      <x:c r="I111" s="12" t="str">
        <x:v>Non</x:v>
      </x:c>
      <x:c r="J111" s="12" t="str">
        <x:v>Non</x:v>
      </x:c>
      <x:c r="K111" s="12" t="str">
        <x:v>NaCl 0,9 % / G5</x:v>
      </x:c>
      <x:c r="L111" s="12" t="n">
        <x:v>1</x:v>
      </x:c>
      <x:c r="M111" s="12" t="n">
        <x:v>2</x:v>
      </x:c>
      <x:c r="N111" s="12" t="str">
        <x:v>mg/mL</x:v>
      </x:c>
      <x:c r="O111" s="12"/>
      <x:c r="P111" s="12"/>
      <x:c r="Q111" s="12" t="n">
        <x:v>8</x:v>
      </x:c>
      <x:c r="R111" s="12" t="n">
        <x:v>25</x:v>
      </x:c>
      <x:c r="S111" s="12" t="str">
        <x:v>8°C, 24°C, 25°C</x:v>
      </x:c>
      <x:c r="T111" s="12" t="n">
        <x:v>720</x:v>
      </x:c>
      <x:c r="U111" s="12"/>
      <x:c r="V111" s="12" t="str">
        <x:v>Oui</x:v>
      </x:c>
      <x:c r="W111" s="12" t="str"/>
      <x:c r="X111" s="12" t="str"/>
      <x:c r="Y111" s="12" t="str"/>
      <x:c r="Z111" s="12" t="str">
        <x:v>À compléter</x:v>
      </x:c>
      <x:c r="AA111" s="12" t="str">
        <x:v>Micrel possible selon conditions</x:v>
      </x:c>
      <x:c r="AB111" s="12" t="str">
        <x:v>Vigilance</x:v>
      </x:c>
      <x:c r="AC111" s="12" t="str">
        <x:v>À vérifier</x:v>
      </x:c>
      <x:c r="AD111" s="12" t="str"/>
      <x:c r="AE111" s="12" t="str"/>
      <x:c r="AF111" s="12" t="str">
        <x:v>NaCl 0,9 % ou G5 ; conc 1–2 mg/mL ; stab 30 j à 2–8°C abri lumière et 30 j à 21–24°C lumière ; conc 1,5 mg/mL : stab 48 h à 25°C</x:v>
      </x:c>
      <x:c r="AG111" s="12" t="str">
        <x:v>Donnée spécifique consommables Micrel/Rythmic.</x:v>
      </x:c>
      <x:c r="AH111" s="12" t="str"/>
      <x:c r="AI111" s="12" t="str"/>
      <x:c r="AJ111" t="str">
        <x:f>XLOOKUP(C111,Sources!$A:$A,Sources!$J:$J,"Non")</x:f>
        <x:v>Non</x:v>
      </x:c>
      <x:c r="AK111" t="str">
        <x:f>XLOOKUP(C111,Sources!$A:$A,Sources!$K:$K,"À décider")</x:f>
        <x:v>À décider</x:v>
      </x:c>
      <x:c r="AL111" t="str">
        <x:f>XLOOKUP(C111,Sources!$A:$A,Sources!$L:$L,"Non")</x:f>
        <x:v>Non</x:v>
      </x:c>
      <x:c r="AM111" t="str">
        <x:f>XLOOKUP(C111,Sources!$A:$A,Sources!$M:$M,"Non")</x:f>
        <x:v>Non</x:v>
      </x:c>
      <x:c r="AN111" t="str">
        <x:f>XLOOKUP(C111,Sources!$A:$A,Sources!$N:$N,"À valider")</x:f>
        <x:v>À valider</x:v>
      </x:c>
    </x:row>
    <x:row r="112" ht="18" customHeight="1">
      <x:c r="A112" s="12" t="str">
        <x:v>STAB0111</x:v>
      </x:c>
      <x:c r="B112" s="12" t="str">
        <x:v>Cefuroxime</x:v>
      </x:c>
      <x:c r="C112" s="12" t="str">
        <x:v>SRC010</x:v>
      </x:c>
      <x:c r="D112" s="12" t="str">
        <x:v>Micrel – données internes du laboratoire</x:v>
      </x:c>
      <x:c r="E112" s="12" t="str">
        <x:v>Protocole local</x:v>
      </x:c>
      <x:c r="F112" s="12" t="str">
        <x:v>micrel</x:v>
      </x:c>
      <x:c r="G112" s="12" t="str">
        <x:v>Pompe Rythmic / Micrel</x:v>
      </x:c>
      <x:c r="H112" s="12" t="str">
        <x:v>Pompe Rythmic PVC</x:v>
      </x:c>
      <x:c r="I112" s="12" t="str">
        <x:v>Oui</x:v>
      </x:c>
      <x:c r="J112" s="12" t="str">
        <x:v>Non</x:v>
      </x:c>
      <x:c r="K112" s="12" t="str">
        <x:v>NaCl 0,9 % / G5</x:v>
      </x:c>
      <x:c r="L112" s="12" t="n">
        <x:v>5</x:v>
      </x:c>
      <x:c r="M112" s="12" t="n">
        <x:v>10</x:v>
      </x:c>
      <x:c r="N112" s="12" t="str">
        <x:v>mg/mL</x:v>
      </x:c>
      <x:c r="O112" s="12"/>
      <x:c r="P112" s="12"/>
      <x:c r="Q112" s="12" t="n">
        <x:v>4</x:v>
      </x:c>
      <x:c r="R112" s="12" t="n">
        <x:v>25</x:v>
      </x:c>
      <x:c r="S112" s="12" t="str">
        <x:v>4°C, 5°C, 25°C</x:v>
      </x:c>
      <x:c r="T112" s="12" t="n">
        <x:v>720</x:v>
      </x:c>
      <x:c r="U112" s="12"/>
      <x:c r="V112" s="12" t="str"/>
      <x:c r="W112" s="12" t="str"/>
      <x:c r="X112" s="12" t="str"/>
      <x:c r="Y112" s="12" t="str"/>
      <x:c r="Z112" s="12" t="str">
        <x:v>À compléter</x:v>
      </x:c>
      <x:c r="AA112" s="12" t="str">
        <x:v>Micrel possible selon conditions</x:v>
      </x:c>
      <x:c r="AB112" s="12" t="str">
        <x:v>Vigilance</x:v>
      </x:c>
      <x:c r="AC112" s="12" t="str">
        <x:v>À vérifier</x:v>
      </x:c>
      <x:c r="AD112" s="12" t="str"/>
      <x:c r="AE112" s="12" t="str"/>
      <x:c r="AF112" s="12" t="str">
        <x:v>NaCl 0,9 % ou G5 ; conc 5–10 mg/mL : stab 24 h à 25°C et 30 j à 5°C ; G5 conc 15 mg/mL : stab 11–15 j à 4°C selon conditions</x:v>
      </x:c>
      <x:c r="AG112" s="12" t="str">
        <x:v>Donnée spécifique consommables Micrel/Rythmic.</x:v>
      </x:c>
      <x:c r="AH112" s="12" t="str"/>
      <x:c r="AI112" s="12" t="str"/>
      <x:c r="AJ112" t="str">
        <x:f>XLOOKUP(C112,Sources!$A:$A,Sources!$J:$J,"Non")</x:f>
        <x:v>Non</x:v>
      </x:c>
      <x:c r="AK112" t="str">
        <x:f>XLOOKUP(C112,Sources!$A:$A,Sources!$K:$K,"À décider")</x:f>
        <x:v>À décider</x:v>
      </x:c>
      <x:c r="AL112" t="str">
        <x:f>XLOOKUP(C112,Sources!$A:$A,Sources!$L:$L,"Non")</x:f>
        <x:v>Non</x:v>
      </x:c>
      <x:c r="AM112" t="str">
        <x:f>XLOOKUP(C112,Sources!$A:$A,Sources!$M:$M,"Non")</x:f>
        <x:v>Non</x:v>
      </x:c>
      <x:c r="AN112" t="str">
        <x:f>XLOOKUP(C112,Sources!$A:$A,Sources!$N:$N,"À valider")</x:f>
        <x:v>À valider</x:v>
      </x:c>
    </x:row>
    <x:row r="113" ht="18" customHeight="1">
      <x:c r="A113" s="12" t="str">
        <x:v>STAB0112</x:v>
      </x:c>
      <x:c r="B113" s="12" t="str">
        <x:v>Oxacilline</x:v>
      </x:c>
      <x:c r="C113" s="12" t="str">
        <x:v>SRC010</x:v>
      </x:c>
      <x:c r="D113" s="12" t="str">
        <x:v>Micrel – données internes du laboratoire</x:v>
      </x:c>
      <x:c r="E113" s="12" t="str">
        <x:v>Protocole local</x:v>
      </x:c>
      <x:c r="F113" s="12" t="str">
        <x:v>micrel</x:v>
      </x:c>
      <x:c r="G113" s="12" t="str">
        <x:v>Pompe Rythmic / Micrel</x:v>
      </x:c>
      <x:c r="H113" s="12" t="str">
        <x:v>Pompe Rythmic PVC</x:v>
      </x:c>
      <x:c r="I113" s="12" t="str">
        <x:v>Oui</x:v>
      </x:c>
      <x:c r="J113" s="12" t="str">
        <x:v>Non</x:v>
      </x:c>
      <x:c r="K113" s="12" t="str">
        <x:v>NaCl 0,9 %</x:v>
      </x:c>
      <x:c r="L113" s="12" t="n">
        <x:v>10</x:v>
      </x:c>
      <x:c r="M113" s="12" t="n">
        <x:v>80</x:v>
      </x:c>
      <x:c r="N113" s="12" t="str">
        <x:v>mg/mL</x:v>
      </x:c>
      <x:c r="O113" s="12"/>
      <x:c r="P113" s="12"/>
      <x:c r="Q113" s="12"/>
      <x:c r="R113" s="12"/>
      <x:c r="S113" s="12" t="str">
        <x:v>RT</x:v>
      </x:c>
      <x:c r="T113" s="12" t="n">
        <x:v>240</x:v>
      </x:c>
      <x:c r="U113" s="12"/>
      <x:c r="V113" s="12" t="str"/>
      <x:c r="W113" s="12" t="str"/>
      <x:c r="X113" s="12" t="str"/>
      <x:c r="Y113" s="12" t="str"/>
      <x:c r="Z113" s="12" t="str">
        <x:v>À compléter</x:v>
      </x:c>
      <x:c r="AA113" s="12" t="str">
        <x:v>Micrel possible selon conditions</x:v>
      </x:c>
      <x:c r="AB113" s="12" t="str">
        <x:v>Vigilance</x:v>
      </x:c>
      <x:c r="AC113" s="12" t="str">
        <x:v>À vérifier</x:v>
      </x:c>
      <x:c r="AD113" s="12" t="str"/>
      <x:c r="AE113" s="12" t="str"/>
      <x:c r="AF113" s="12" t="str">
        <x:v>NaCl 0,9 % ; conc 10–80 mg/mL ; stab FT 10 j ; RT 24 h</x:v>
      </x:c>
      <x:c r="AG113" s="12" t="str">
        <x:v>Donnée spécifique consommables Micrel/Rythmic.</x:v>
      </x:c>
      <x:c r="AH113" s="12" t="str"/>
      <x:c r="AI113" s="12" t="str"/>
      <x:c r="AJ113" t="str">
        <x:f>XLOOKUP(C113,Sources!$A:$A,Sources!$J:$J,"Non")</x:f>
        <x:v>Non</x:v>
      </x:c>
      <x:c r="AK113" t="str">
        <x:f>XLOOKUP(C113,Sources!$A:$A,Sources!$K:$K,"À décider")</x:f>
        <x:v>À décider</x:v>
      </x:c>
      <x:c r="AL113" t="str">
        <x:f>XLOOKUP(C113,Sources!$A:$A,Sources!$L:$L,"Non")</x:f>
        <x:v>Non</x:v>
      </x:c>
      <x:c r="AM113" t="str">
        <x:f>XLOOKUP(C113,Sources!$A:$A,Sources!$M:$M,"Non")</x:f>
        <x:v>Non</x:v>
      </x:c>
      <x:c r="AN113" t="str">
        <x:f>XLOOKUP(C113,Sources!$A:$A,Sources!$N:$N,"À valider")</x:f>
        <x:v>À valider</x:v>
      </x:c>
    </x:row>
    <x:row r="114" ht="18" customHeight="1">
      <x:c r="A114" s="12" t="str">
        <x:v>STAB0113</x:v>
      </x:c>
      <x:c r="B114" s="12" t="str">
        <x:v>Pipéracilline</x:v>
      </x:c>
      <x:c r="C114" s="12" t="str">
        <x:v>SRC010</x:v>
      </x:c>
      <x:c r="D114" s="12" t="str">
        <x:v>Micrel – données internes du laboratoire</x:v>
      </x:c>
      <x:c r="E114" s="12" t="str">
        <x:v>Protocole local</x:v>
      </x:c>
      <x:c r="F114" s="12" t="str">
        <x:v>micrel</x:v>
      </x:c>
      <x:c r="G114" s="12" t="str">
        <x:v>Pompe Rythmic / Micrel</x:v>
      </x:c>
      <x:c r="H114" s="12" t="str">
        <x:v>Pompe Rythmic PVC</x:v>
      </x:c>
      <x:c r="I114" s="12" t="str">
        <x:v>Oui</x:v>
      </x:c>
      <x:c r="J114" s="12" t="str">
        <x:v>Non</x:v>
      </x:c>
      <x:c r="K114" s="12" t="str">
        <x:v>NaCl 0,9 %</x:v>
      </x:c>
      <x:c r="L114" s="12" t="n">
        <x:v>10</x:v>
      </x:c>
      <x:c r="M114" s="12" t="n">
        <x:v>80</x:v>
      </x:c>
      <x:c r="N114" s="12" t="str">
        <x:v>mg/mL</x:v>
      </x:c>
      <x:c r="O114" s="12"/>
      <x:c r="P114" s="12"/>
      <x:c r="Q114" s="12"/>
      <x:c r="R114" s="12"/>
      <x:c r="S114" s="12" t="str">
        <x:v>RT</x:v>
      </x:c>
      <x:c r="T114" s="12" t="n">
        <x:v>336</x:v>
      </x:c>
      <x:c r="U114" s="12"/>
      <x:c r="V114" s="12" t="str"/>
      <x:c r="W114" s="12" t="str"/>
      <x:c r="X114" s="12" t="str"/>
      <x:c r="Y114" s="12" t="str"/>
      <x:c r="Z114" s="12" t="str">
        <x:v>À compléter</x:v>
      </x:c>
      <x:c r="AA114" s="12" t="str">
        <x:v>Micrel possible selon conditions</x:v>
      </x:c>
      <x:c r="AB114" s="12" t="str">
        <x:v>Vigilance</x:v>
      </x:c>
      <x:c r="AC114" s="12" t="str">
        <x:v>À vérifier</x:v>
      </x:c>
      <x:c r="AD114" s="12" t="str"/>
      <x:c r="AE114" s="12" t="str"/>
      <x:c r="AF114" s="12" t="str">
        <x:v>NaCl 0,9 % ; conc 10–80 mg/mL ; stab FT 14 j ; RT 24 h</x:v>
      </x:c>
      <x:c r="AG114" s="12" t="str">
        <x:v>Donnée spécifique consommables Micrel/Rythmic.</x:v>
      </x:c>
      <x:c r="AH114" s="12" t="str"/>
      <x:c r="AI114" s="12" t="str"/>
      <x:c r="AJ114" t="str">
        <x:f>XLOOKUP(C114,Sources!$A:$A,Sources!$J:$J,"Non")</x:f>
        <x:v>Non</x:v>
      </x:c>
      <x:c r="AK114" t="str">
        <x:f>XLOOKUP(C114,Sources!$A:$A,Sources!$K:$K,"À décider")</x:f>
        <x:v>À décider</x:v>
      </x:c>
      <x:c r="AL114" t="str">
        <x:f>XLOOKUP(C114,Sources!$A:$A,Sources!$L:$L,"Non")</x:f>
        <x:v>Non</x:v>
      </x:c>
      <x:c r="AM114" t="str">
        <x:f>XLOOKUP(C114,Sources!$A:$A,Sources!$M:$M,"Non")</x:f>
        <x:v>Non</x:v>
      </x:c>
      <x:c r="AN114" t="str">
        <x:f>XLOOKUP(C114,Sources!$A:$A,Sources!$N:$N,"À valider")</x:f>
        <x:v>À valider</x:v>
      </x:c>
    </x:row>
    <x:row r="115" ht="18" customHeight="1">
      <x:c r="A115" s="12" t="str">
        <x:v>STAB0114</x:v>
      </x:c>
      <x:c r="B115" s="12" t="str">
        <x:v>Imipénème/cilastatine</x:v>
      </x:c>
      <x:c r="C115" s="12" t="str">
        <x:v>SRC010</x:v>
      </x:c>
      <x:c r="D115" s="12" t="str">
        <x:v>Micrel – données internes du laboratoire</x:v>
      </x:c>
      <x:c r="E115" s="12" t="str">
        <x:v>Protocole local</x:v>
      </x:c>
      <x:c r="F115" s="12" t="str">
        <x:v>micrel</x:v>
      </x:c>
      <x:c r="G115" s="12" t="str">
        <x:v>Pompe Rythmic / Micrel</x:v>
      </x:c>
      <x:c r="H115" s="12" t="str">
        <x:v>Pompe Rythmic PVC</x:v>
      </x:c>
      <x:c r="I115" s="12" t="str">
        <x:v>Oui</x:v>
      </x:c>
      <x:c r="J115" s="12" t="str">
        <x:v>Non</x:v>
      </x:c>
      <x:c r="K115" s="12" t="str">
        <x:v>NaCl 0,9 %</x:v>
      </x:c>
      <x:c r="L115" s="12" t="n">
        <x:v>5</x:v>
      </x:c>
      <x:c r="M115" s="12" t="n">
        <x:v>5</x:v>
      </x:c>
      <x:c r="N115" s="12" t="str">
        <x:v>mg/mL</x:v>
      </x:c>
      <x:c r="O115" s="12"/>
      <x:c r="P115" s="12"/>
      <x:c r="Q115" s="12"/>
      <x:c r="R115" s="12"/>
      <x:c r="S115" s="12" t="str">
        <x:v>RT</x:v>
      </x:c>
      <x:c r="T115" s="12" t="n">
        <x:v>24</x:v>
      </x:c>
      <x:c r="U115" s="12"/>
      <x:c r="V115" s="12" t="str"/>
      <x:c r="W115" s="12" t="str"/>
      <x:c r="X115" s="12" t="str"/>
      <x:c r="Y115" s="12" t="str"/>
      <x:c r="Z115" s="12" t="str">
        <x:v>À compléter</x:v>
      </x:c>
      <x:c r="AA115" s="12" t="str">
        <x:v>Micrel : stabilité courte</x:v>
      </x:c>
      <x:c r="AB115" s="12" t="str">
        <x:v>OK</x:v>
      </x:c>
      <x:c r="AC115" s="12" t="str">
        <x:v>À vérifier</x:v>
      </x:c>
      <x:c r="AD115" s="12" t="str"/>
      <x:c r="AE115" s="12" t="str"/>
      <x:c r="AF115" s="12" t="str">
        <x:v>NaCl 0,9 % ; conc 5 + 5 mg/mL ; stab FT 24 h ; RT 9 h</x:v>
      </x:c>
      <x:c r="AG115" s="12" t="str">
        <x:v>Donnée spécifique consommables Micrel/Rythmic.</x:v>
      </x:c>
      <x:c r="AH115" s="12" t="str"/>
      <x:c r="AI115" s="12" t="str"/>
      <x:c r="AJ115" t="str">
        <x:f>XLOOKUP(C115,Sources!$A:$A,Sources!$J:$J,"Non")</x:f>
        <x:v>Non</x:v>
      </x:c>
      <x:c r="AK115" t="str">
        <x:f>XLOOKUP(C115,Sources!$A:$A,Sources!$K:$K,"À décider")</x:f>
        <x:v>À décider</x:v>
      </x:c>
      <x:c r="AL115" t="str">
        <x:f>XLOOKUP(C115,Sources!$A:$A,Sources!$L:$L,"Non")</x:f>
        <x:v>Non</x:v>
      </x:c>
      <x:c r="AM115" t="str">
        <x:f>XLOOKUP(C115,Sources!$A:$A,Sources!$M:$M,"Non")</x:f>
        <x:v>Non</x:v>
      </x:c>
      <x:c r="AN115" t="str">
        <x:f>XLOOKUP(C115,Sources!$A:$A,Sources!$N:$N,"À valider")</x:f>
        <x:v>À valider</x:v>
      </x:c>
    </x:row>
    <x:row r="116" ht="18" customHeight="1">
      <x:c r="A116" s="12" t="str">
        <x:v>STAB0115</x:v>
      </x:c>
      <x:c r="B116" s="12" t="str">
        <x:v>Ticarcilline</x:v>
      </x:c>
      <x:c r="C116" s="12" t="str">
        <x:v>SRC010</x:v>
      </x:c>
      <x:c r="D116" s="12" t="str">
        <x:v>Micrel – données internes du laboratoire</x:v>
      </x:c>
      <x:c r="E116" s="12" t="str">
        <x:v>Protocole local</x:v>
      </x:c>
      <x:c r="F116" s="12" t="str">
        <x:v>micrel</x:v>
      </x:c>
      <x:c r="G116" s="12" t="str">
        <x:v>Pompe Rythmic / Micrel</x:v>
      </x:c>
      <x:c r="H116" s="12" t="str">
        <x:v>Pompe Rythmic PVC</x:v>
      </x:c>
      <x:c r="I116" s="12" t="str">
        <x:v>Oui</x:v>
      </x:c>
      <x:c r="J116" s="12" t="str">
        <x:v>Non</x:v>
      </x:c>
      <x:c r="K116" s="12" t="str">
        <x:v>NaCl 0,9 %</x:v>
      </x:c>
      <x:c r="L116" s="12" t="n">
        <x:v>5</x:v>
      </x:c>
      <x:c r="M116" s="12" t="n">
        <x:v>50</x:v>
      </x:c>
      <x:c r="N116" s="12" t="str">
        <x:v>mg/mL</x:v>
      </x:c>
      <x:c r="O116" s="12"/>
      <x:c r="P116" s="12"/>
      <x:c r="Q116" s="12"/>
      <x:c r="R116" s="12"/>
      <x:c r="S116" s="12" t="str">
        <x:v>RT</x:v>
      </x:c>
      <x:c r="T116" s="12" t="n">
        <x:v>360</x:v>
      </x:c>
      <x:c r="U116" s="12"/>
      <x:c r="V116" s="12" t="str"/>
      <x:c r="W116" s="12" t="str"/>
      <x:c r="X116" s="12" t="str"/>
      <x:c r="Y116" s="12" t="str"/>
      <x:c r="Z116" s="12" t="str">
        <x:v>À compléter</x:v>
      </x:c>
      <x:c r="AA116" s="12" t="str">
        <x:v>Micrel possible selon conditions</x:v>
      </x:c>
      <x:c r="AB116" s="12" t="str">
        <x:v>Vigilance</x:v>
      </x:c>
      <x:c r="AC116" s="12" t="str">
        <x:v>À vérifier</x:v>
      </x:c>
      <x:c r="AD116" s="12" t="str"/>
      <x:c r="AE116" s="12" t="str"/>
      <x:c r="AF116" s="12" t="str">
        <x:v>NaCl 0,9 % ; conc 5–50 mg/mL ; stab FT 15 j ; RT 24 h</x:v>
      </x:c>
      <x:c r="AG116" s="12" t="str">
        <x:v>Donnée spécifique consommables Micrel/Rythmic.</x:v>
      </x:c>
      <x:c r="AH116" s="12" t="str"/>
      <x:c r="AI116" s="12" t="str"/>
      <x:c r="AJ116" t="str">
        <x:f>XLOOKUP(C116,Sources!$A:$A,Sources!$J:$J,"Non")</x:f>
        <x:v>Non</x:v>
      </x:c>
      <x:c r="AK116" t="str">
        <x:f>XLOOKUP(C116,Sources!$A:$A,Sources!$K:$K,"À décider")</x:f>
        <x:v>À décider</x:v>
      </x:c>
      <x:c r="AL116" t="str">
        <x:f>XLOOKUP(C116,Sources!$A:$A,Sources!$L:$L,"Non")</x:f>
        <x:v>Non</x:v>
      </x:c>
      <x:c r="AM116" t="str">
        <x:f>XLOOKUP(C116,Sources!$A:$A,Sources!$M:$M,"Non")</x:f>
        <x:v>Non</x:v>
      </x:c>
      <x:c r="AN116" t="str">
        <x:f>XLOOKUP(C116,Sources!$A:$A,Sources!$N:$N,"À valider")</x:f>
        <x:v>À valider</x:v>
      </x:c>
    </x:row>
    <x:row r="117" ht="18" customHeight="1">
      <x:c r="A117" s="12" t="str">
        <x:v>STAB0116</x:v>
      </x:c>
      <x:c r="B117" s="12" t="str">
        <x:v>Ticarcilline/acide clavulanique</x:v>
      </x:c>
      <x:c r="C117" s="12" t="str">
        <x:v>SRC010</x:v>
      </x:c>
      <x:c r="D117" s="12" t="str">
        <x:v>Micrel – données internes du laboratoire</x:v>
      </x:c>
      <x:c r="E117" s="12" t="str">
        <x:v>Protocole local</x:v>
      </x:c>
      <x:c r="F117" s="12" t="str">
        <x:v>micrel</x:v>
      </x:c>
      <x:c r="G117" s="12" t="str">
        <x:v>Pompe Rythmic / Micrel</x:v>
      </x:c>
      <x:c r="H117" s="12" t="str">
        <x:v>Pompe Rythmic PVC</x:v>
      </x:c>
      <x:c r="I117" s="12" t="str">
        <x:v>Non</x:v>
      </x:c>
      <x:c r="J117" s="12" t="str">
        <x:v>Non</x:v>
      </x:c>
      <x:c r="K117" s="12" t="str">
        <x:v>NaCl 0,9 %</x:v>
      </x:c>
      <x:c r="L117" s="12" t="n">
        <x:v>10</x:v>
      </x:c>
      <x:c r="M117" s="12" t="n">
        <x:v>10</x:v>
      </x:c>
      <x:c r="N117" s="12" t="str">
        <x:v>mg/mL</x:v>
      </x:c>
      <x:c r="O117" s="12"/>
      <x:c r="P117" s="12"/>
      <x:c r="Q117" s="12"/>
      <x:c r="R117" s="12"/>
      <x:c r="S117" s="12" t="str">
        <x:v>RT</x:v>
      </x:c>
      <x:c r="T117" s="12" t="n">
        <x:v>240</x:v>
      </x:c>
      <x:c r="U117" s="12"/>
      <x:c r="V117" s="12" t="str"/>
      <x:c r="W117" s="12" t="str"/>
      <x:c r="X117" s="12" t="str"/>
      <x:c r="Y117" s="12" t="str"/>
      <x:c r="Z117" s="12" t="str">
        <x:v>À compléter</x:v>
      </x:c>
      <x:c r="AA117" s="12" t="str">
        <x:v>Micrel possible selon conditions</x:v>
      </x:c>
      <x:c r="AB117" s="12" t="str">
        <x:v>Vigilance</x:v>
      </x:c>
      <x:c r="AC117" s="12" t="str">
        <x:v>À vérifier</x:v>
      </x:c>
      <x:c r="AD117" s="12" t="str"/>
      <x:c r="AE117" s="12" t="str"/>
      <x:c r="AF117" s="12" t="str">
        <x:v>NaCl 0,9 % ; conc ticarcilline 10 mg/mL + clavulanate 150 mg/mL selon tableau ; stab FT 10 j ; RT 20 h</x:v>
      </x:c>
      <x:c r="AG117" s="12" t="str">
        <x:v>Vérifier l’expression exacte des concentrations avant usage clinique.</x:v>
      </x:c>
      <x:c r="AH117" s="12" t="str"/>
      <x:c r="AI117" s="12" t="str"/>
      <x:c r="AJ117" t="str">
        <x:f>XLOOKUP(C117,Sources!$A:$A,Sources!$J:$J,"Non")</x:f>
        <x:v>Non</x:v>
      </x:c>
      <x:c r="AK117" t="str">
        <x:f>XLOOKUP(C117,Sources!$A:$A,Sources!$K:$K,"À décider")</x:f>
        <x:v>À décider</x:v>
      </x:c>
      <x:c r="AL117" t="str">
        <x:f>XLOOKUP(C117,Sources!$A:$A,Sources!$L:$L,"Non")</x:f>
        <x:v>Non</x:v>
      </x:c>
      <x:c r="AM117" t="str">
        <x:f>XLOOKUP(C117,Sources!$A:$A,Sources!$M:$M,"Non")</x:f>
        <x:v>Non</x:v>
      </x:c>
      <x:c r="AN117" t="str">
        <x:f>XLOOKUP(C117,Sources!$A:$A,Sources!$N:$N,"À valider")</x:f>
        <x:v>À valider</x:v>
      </x:c>
    </x:row>
    <x:row r="118" ht="18" customHeight="1">
      <x:c r="A118" s="12" t="str">
        <x:v>STAB0117</x:v>
      </x:c>
      <x:c r="B118" s="12" t="str">
        <x:v>Tobramycine</x:v>
      </x:c>
      <x:c r="C118" s="12" t="str">
        <x:v>SRC010</x:v>
      </x:c>
      <x:c r="D118" s="12" t="str">
        <x:v>Micrel – données internes du laboratoire</x:v>
      </x:c>
      <x:c r="E118" s="12" t="str">
        <x:v>Protocole local</x:v>
      </x:c>
      <x:c r="F118" s="12" t="str">
        <x:v>micrel</x:v>
      </x:c>
      <x:c r="G118" s="12" t="str">
        <x:v>Pompe Rythmic / Micrel</x:v>
      </x:c>
      <x:c r="H118" s="12" t="str">
        <x:v>Pompe Rythmic PVC</x:v>
      </x:c>
      <x:c r="I118" s="12" t="str">
        <x:v>Oui</x:v>
      </x:c>
      <x:c r="J118" s="12" t="str">
        <x:v>Non</x:v>
      </x:c>
      <x:c r="K118" s="12" t="str">
        <x:v>NaCl 0,9 %</x:v>
      </x:c>
      <x:c r="L118" s="12" t="n">
        <x:v>0.5</x:v>
      </x:c>
      <x:c r="M118" s="12" t="n">
        <x:v>5</x:v>
      </x:c>
      <x:c r="N118" s="12" t="str">
        <x:v>mg/mL</x:v>
      </x:c>
      <x:c r="O118" s="12"/>
      <x:c r="P118" s="12"/>
      <x:c r="Q118" s="12"/>
      <x:c r="R118" s="12"/>
      <x:c r="S118" s="12" t="str">
        <x:v>RT</x:v>
      </x:c>
      <x:c r="T118" s="12" t="n">
        <x:v>168</x:v>
      </x:c>
      <x:c r="U118" s="12"/>
      <x:c r="V118" s="12" t="str"/>
      <x:c r="W118" s="12" t="str"/>
      <x:c r="X118" s="12" t="str"/>
      <x:c r="Y118" s="12" t="str"/>
      <x:c r="Z118" s="12" t="str">
        <x:v>À compléter</x:v>
      </x:c>
      <x:c r="AA118" s="12" t="str">
        <x:v>Micrel 48 h physicochimique</x:v>
      </x:c>
      <x:c r="AB118" s="12" t="str">
        <x:v>OK</x:v>
      </x:c>
      <x:c r="AC118" s="12" t="str">
        <x:v>À vérifier</x:v>
      </x:c>
      <x:c r="AD118" s="12" t="str"/>
      <x:c r="AE118" s="12" t="str"/>
      <x:c r="AF118" s="12" t="str">
        <x:v>NaCl 0,9 % ; conc 0,5–5 mg/mL ; stab FT 7 j ; RT 48 h</x:v>
      </x:c>
      <x:c r="AG118" s="12" t="str">
        <x:v>Stabilité physicochimique ≠ recommandation clinique de perfusion continue pour aminoside.</x:v>
      </x:c>
      <x:c r="AH118" s="12" t="str"/>
      <x:c r="AI118" s="12" t="str"/>
      <x:c r="AJ118" t="str">
        <x:f>XLOOKUP(C118,Sources!$A:$A,Sources!$J:$J,"Non")</x:f>
        <x:v>Non</x:v>
      </x:c>
      <x:c r="AK118" t="str">
        <x:f>XLOOKUP(C118,Sources!$A:$A,Sources!$K:$K,"À décider")</x:f>
        <x:v>À décider</x:v>
      </x:c>
      <x:c r="AL118" t="str">
        <x:f>XLOOKUP(C118,Sources!$A:$A,Sources!$L:$L,"Non")</x:f>
        <x:v>Non</x:v>
      </x:c>
      <x:c r="AM118" t="str">
        <x:f>XLOOKUP(C118,Sources!$A:$A,Sources!$M:$M,"Non")</x:f>
        <x:v>Non</x:v>
      </x:c>
      <x:c r="AN118" t="str">
        <x:f>XLOOKUP(C118,Sources!$A:$A,Sources!$N:$N,"À valider")</x:f>
        <x:v>À valider</x:v>
      </x:c>
    </x:row>
    <x:row r="119" ht="18" customHeight="1">
      <x:c r="A119" s="12" t="str">
        <x:v>STAB0118</x:v>
      </x:c>
      <x:c r="B119" s="12" t="str">
        <x:v>Vancomycine</x:v>
      </x:c>
      <x:c r="C119" s="12" t="str">
        <x:v>SRC010</x:v>
      </x:c>
      <x:c r="D119" s="12" t="str">
        <x:v>Micrel – données internes du laboratoire</x:v>
      </x:c>
      <x:c r="E119" s="12" t="str">
        <x:v>Protocole local</x:v>
      </x:c>
      <x:c r="F119" s="12" t="str">
        <x:v>micrel</x:v>
      </x:c>
      <x:c r="G119" s="12" t="str">
        <x:v>Pompe Rythmic / Micrel</x:v>
      </x:c>
      <x:c r="H119" s="12" t="str">
        <x:v>Pompe Rythmic PVC</x:v>
      </x:c>
      <x:c r="I119" s="12" t="str">
        <x:v>Oui</x:v>
      </x:c>
      <x:c r="J119" s="12" t="str">
        <x:v>Non</x:v>
      </x:c>
      <x:c r="K119" s="12" t="str">
        <x:v>NaCl 0,9 %</x:v>
      </x:c>
      <x:c r="L119" s="12" t="n">
        <x:v>10</x:v>
      </x:c>
      <x:c r="M119" s="12" t="n">
        <x:v>20</x:v>
      </x:c>
      <x:c r="N119" s="12" t="str">
        <x:v>mg/mL</x:v>
      </x:c>
      <x:c r="O119" s="12"/>
      <x:c r="P119" s="12"/>
      <x:c r="Q119" s="12"/>
      <x:c r="R119" s="12"/>
      <x:c r="S119" s="12" t="str">
        <x:v>RT</x:v>
      </x:c>
      <x:c r="T119" s="12" t="n">
        <x:v>240</x:v>
      </x:c>
      <x:c r="U119" s="12"/>
      <x:c r="V119" s="12" t="str"/>
      <x:c r="W119" s="12" t="str"/>
      <x:c r="X119" s="12" t="str"/>
      <x:c r="Y119" s="12" t="str"/>
      <x:c r="Z119" s="12" t="str">
        <x:v>À compléter</x:v>
      </x:c>
      <x:c r="AA119" s="12" t="str">
        <x:v>Micrel possible selon conditions</x:v>
      </x:c>
      <x:c r="AB119" s="12" t="str">
        <x:v>Vigilance</x:v>
      </x:c>
      <x:c r="AC119" s="12" t="str">
        <x:v>À vérifier</x:v>
      </x:c>
      <x:c r="AD119" s="12" t="str"/>
      <x:c r="AE119" s="12" t="str"/>
      <x:c r="AF119" s="12" t="str">
        <x:v>NaCl 0,9 % ; conc 10–20 mg/mL ; stab FT 10 j ; RT 24 h</x:v>
      </x:c>
      <x:c r="AG119" s="12" t="str">
        <x:v>Donnée spécifique consommables Micrel/Rythmic.</x:v>
      </x:c>
      <x:c r="AH119" s="12" t="str"/>
      <x:c r="AI119" s="12" t="str"/>
      <x:c r="AJ119" t="str">
        <x:f>XLOOKUP(C119,Sources!$A:$A,Sources!$J:$J,"Non")</x:f>
        <x:v>Non</x:v>
      </x:c>
      <x:c r="AK119" t="str">
        <x:f>XLOOKUP(C119,Sources!$A:$A,Sources!$K:$K,"À décider")</x:f>
        <x:v>À décider</x:v>
      </x:c>
      <x:c r="AL119" t="str">
        <x:f>XLOOKUP(C119,Sources!$A:$A,Sources!$L:$L,"Non")</x:f>
        <x:v>Non</x:v>
      </x:c>
      <x:c r="AM119" t="str">
        <x:f>XLOOKUP(C119,Sources!$A:$A,Sources!$M:$M,"Non")</x:f>
        <x:v>Non</x:v>
      </x:c>
      <x:c r="AN119" t="str">
        <x:f>XLOOKUP(C119,Sources!$A:$A,Sources!$N:$N,"À valider")</x:f>
        <x:v>À valider</x:v>
      </x:c>
    </x:row>
    <x:row r="120" ht="18" customHeight="1">
      <x:c r="A120" s="12" t="str">
        <x:v>STAB0119</x:v>
      </x:c>
      <x:c r="B120" s="12" t="str">
        <x:v>Dalbavancine</x:v>
      </x:c>
      <x:c r="C120" s="12" t="str">
        <x:v>SRC002</x:v>
      </x:c>
      <x:c r="D120" s="12" t="str">
        <x:v>CH de Tourcoing 2017</x:v>
      </x:c>
      <x:c r="E120" s="12" t="str">
        <x:v>Protocole local</x:v>
      </x:c>
      <x:c r="F120" s="12" t="str">
        <x:v>poche</x:v>
      </x:c>
      <x:c r="G120" s="12" t="str">
        <x:v>Poche soluté classique</x:v>
      </x:c>
      <x:c r="H120" s="12" t="str">
        <x:v>Discontinue recommandée ; perfusion lente ≥60 min</x:v>
      </x:c>
      <x:c r="I120" s="12" t="str">
        <x:v>Oui</x:v>
      </x:c>
      <x:c r="J120" s="12" t="str">
        <x:v>Oui</x:v>
      </x:c>
      <x:c r="K120" s="12" t="str">
        <x:v>NaCl 0,9 % / G5</x:v>
      </x:c>
      <x:c r="L120" s="12" t="n">
        <x:v>1</x:v>
      </x:c>
      <x:c r="M120" s="12" t="n">
        <x:v>5</x:v>
      </x:c>
      <x:c r="N120" s="12" t="str">
        <x:v>mg/mL</x:v>
      </x:c>
      <x:c r="O120" s="12"/>
      <x:c r="P120" s="12"/>
      <x:c r="Q120" s="12" t="n">
        <x:v>25</x:v>
      </x:c>
      <x:c r="R120" s="12" t="n">
        <x:v>25</x:v>
      </x:c>
      <x:c r="S120" s="12" t="str">
        <x:v>25°C</x:v>
      </x:c>
      <x:c r="T120" s="12" t="n">
        <x:v>24</x:v>
      </x:c>
      <x:c r="U120" s="12"/>
      <x:c r="V120" s="12" t="str"/>
      <x:c r="W120" s="12" t="str"/>
      <x:c r="X120" s="12" t="str"/>
      <x:c r="Y120" s="12" t="str"/>
      <x:c r="Z120" s="12" t="str">
        <x:v>À compléter</x:v>
      </x:c>
      <x:c r="AA120" s="12" t="str">
        <x:v>Discontinue</x:v>
      </x:c>
      <x:c r="AB120" s="12" t="str">
        <x:v>Critique</x:v>
      </x:c>
      <x:c r="AC120" s="12" t="str">
        <x:v>À vérifier</x:v>
      </x:c>
      <x:c r="AD120" s="12" t="str"/>
      <x:c r="AE120" s="12" t="str"/>
      <x:c r="AF120" s="12" t="str">
        <x:v>G5 exclusivement ; conc finale 1–5 mg/mL ; stab reconstitué 24 h &lt;25°C ; stab dilué 12 h &lt;25°C ; NaCl incompatible</x:v>
      </x:c>
      <x:c r="AG120" s="12" t="str">
        <x:v>Risque de précipitation avec NaCl.</x:v>
      </x:c>
      <x:c r="AH120" s="12" t="str"/>
      <x:c r="AI120" s="12" t="str"/>
      <x:c r="AJ120" t="str">
        <x:f>XLOOKUP(C120,Sources!$A:$A,Sources!$J:$J,"Non")</x:f>
        <x:v>Non</x:v>
      </x:c>
      <x:c r="AK120" t="str">
        <x:f>XLOOKUP(C120,Sources!$A:$A,Sources!$K:$K,"À décider")</x:f>
        <x:v>À décider</x:v>
      </x:c>
      <x:c r="AL120" t="str">
        <x:f>XLOOKUP(C120,Sources!$A:$A,Sources!$L:$L,"Non")</x:f>
        <x:v>Non</x:v>
      </x:c>
      <x:c r="AM120" t="str">
        <x:f>XLOOKUP(C120,Sources!$A:$A,Sources!$M:$M,"Non")</x:f>
        <x:v>Non</x:v>
      </x:c>
      <x:c r="AN120" t="str">
        <x:f>XLOOKUP(C120,Sources!$A:$A,Sources!$N:$N,"À valider")</x:f>
        <x:v>À valider</x:v>
      </x:c>
    </x:row>
    <x:row r="121" ht="18" customHeight="1">
      <x:c r="A121" s="12" t="str">
        <x:v>STAB0120</x:v>
      </x:c>
      <x:c r="B121" s="12" t="str">
        <x:v>Tedizolide</x:v>
      </x:c>
      <x:c r="C121" s="12" t="str">
        <x:v>SRC002</x:v>
      </x:c>
      <x:c r="D121" s="12" t="str">
        <x:v>CH de Tourcoing 2017</x:v>
      </x:c>
      <x:c r="E121" s="12" t="str">
        <x:v>Protocole local</x:v>
      </x:c>
      <x:c r="F121" s="12" t="str">
        <x:v>poche</x:v>
      </x:c>
      <x:c r="G121" s="12" t="str">
        <x:v>Poche soluté classique</x:v>
      </x:c>
      <x:c r="H121" s="12" t="str">
        <x:v>Discontinue recommandée ; perfusion IV</x:v>
      </x:c>
      <x:c r="I121" s="12" t="str">
        <x:v>Oui</x:v>
      </x:c>
      <x:c r="J121" s="12" t="str">
        <x:v>Oui</x:v>
      </x:c>
      <x:c r="K121" s="12" t="str">
        <x:v>NaCl 0,9 %</x:v>
      </x:c>
      <x:c r="L121" s="12"/>
      <x:c r="M121" s="12"/>
      <x:c r="N121" s="12" t="str"/>
      <x:c r="O121" s="12"/>
      <x:c r="P121" s="12"/>
      <x:c r="Q121" s="12" t="n">
        <x:v>8</x:v>
      </x:c>
      <x:c r="R121" s="12" t="n">
        <x:v>8</x:v>
      </x:c>
      <x:c r="S121" s="12" t="str">
        <x:v>RT, 8°C</x:v>
      </x:c>
      <x:c r="T121" s="12" t="n">
        <x:v>24</x:v>
      </x:c>
      <x:c r="U121" s="12"/>
      <x:c r="V121" s="12" t="str"/>
      <x:c r="W121" s="12" t="str"/>
      <x:c r="X121" s="12" t="str"/>
      <x:c r="Y121" s="12" t="str"/>
      <x:c r="Z121" s="12" t="str">
        <x:v>À compléter</x:v>
      </x:c>
      <x:c r="AA121" s="12" t="str">
        <x:v>Discontinue</x:v>
      </x:c>
      <x:c r="AB121" s="12" t="str">
        <x:v>Vigilance</x:v>
      </x:c>
      <x:c r="AC121" s="12" t="str">
        <x:v>À vérifier</x:v>
      </x:c>
      <x:c r="AD121" s="12" t="str"/>
      <x:c r="AE121" s="12" t="str"/>
      <x:c r="AF121" s="12" t="str">
        <x:v>NaCl 0,9 % ; dilution 250 mL ; stab 4 h RT ; 24 h entre 2–8°C</x:v>
      </x:c>
      <x:c r="AG121" s="12" t="str">
        <x:v>Utilisation immédiate préférable selon source.</x:v>
      </x:c>
      <x:c r="AH121" s="12" t="str"/>
      <x:c r="AI121" s="12" t="str"/>
      <x:c r="AJ121" t="str">
        <x:f>XLOOKUP(C121,Sources!$A:$A,Sources!$J:$J,"Non")</x:f>
        <x:v>Non</x:v>
      </x:c>
      <x:c r="AK121" t="str">
        <x:f>XLOOKUP(C121,Sources!$A:$A,Sources!$K:$K,"À décider")</x:f>
        <x:v>À décider</x:v>
      </x:c>
      <x:c r="AL121" t="str">
        <x:f>XLOOKUP(C121,Sources!$A:$A,Sources!$L:$L,"Non")</x:f>
        <x:v>Non</x:v>
      </x:c>
      <x:c r="AM121" t="str">
        <x:f>XLOOKUP(C121,Sources!$A:$A,Sources!$M:$M,"Non")</x:f>
        <x:v>Non</x:v>
      </x:c>
      <x:c r="AN121" t="str">
        <x:f>XLOOKUP(C121,Sources!$A:$A,Sources!$N:$N,"À valider")</x:f>
        <x:v>À valider</x:v>
      </x:c>
    </x:row>
    <x:row r="122" ht="18" customHeight="1">
      <x:c r="A122" s="12" t="str">
        <x:v>STAB0121</x:v>
      </x:c>
      <x:c r="B122" s="12" t="str">
        <x:v>Isavuconazole</x:v>
      </x:c>
      <x:c r="C122" s="12" t="str">
        <x:v>SRC002</x:v>
      </x:c>
      <x:c r="D122" s="12" t="str">
        <x:v>CH de Tourcoing 2017</x:v>
      </x:c>
      <x:c r="E122" s="12" t="str">
        <x:v>Protocole local</x:v>
      </x:c>
      <x:c r="F122" s="12" t="str">
        <x:v>poche</x:v>
      </x:c>
      <x:c r="G122" s="12" t="str">
        <x:v>Poche soluté classique</x:v>
      </x:c>
      <x:c r="H122" s="12" t="str">
        <x:v>Discontinue recommandée ; perfusion ≥60 min ; filtre en ligne 0,2–1,2 µm</x:v>
      </x:c>
      <x:c r="I122" s="12" t="str">
        <x:v>Oui</x:v>
      </x:c>
      <x:c r="J122" s="12" t="str">
        <x:v>Oui</x:v>
      </x:c>
      <x:c r="K122" s="12" t="str">
        <x:v>NaCl 0,9 % / G5</x:v>
      </x:c>
      <x:c r="L122" s="12"/>
      <x:c r="M122" s="12" t="n">
        <x:v>0.8</x:v>
      </x:c>
      <x:c r="N122" s="12" t="str">
        <x:v>mg/mL</x:v>
      </x:c>
      <x:c r="O122" s="12"/>
      <x:c r="P122" s="12"/>
      <x:c r="Q122" s="12" t="n">
        <x:v>8</x:v>
      </x:c>
      <x:c r="R122" s="12" t="n">
        <x:v>8</x:v>
      </x:c>
      <x:c r="S122" s="12" t="str">
        <x:v>RT, 8°C</x:v>
      </x:c>
      <x:c r="T122" s="12" t="n">
        <x:v>24</x:v>
      </x:c>
      <x:c r="U122" s="12"/>
      <x:c r="V122" s="12" t="str"/>
      <x:c r="W122" s="12" t="str"/>
      <x:c r="X122" s="12" t="str"/>
      <x:c r="Y122" s="12" t="str"/>
      <x:c r="Z122" s="12" t="str">
        <x:v>À compléter</x:v>
      </x:c>
      <x:c r="AA122" s="12" t="str">
        <x:v>Discontinue</x:v>
      </x:c>
      <x:c r="AB122" s="12" t="str">
        <x:v>Critique</x:v>
      </x:c>
      <x:c r="AC122" s="12" t="str">
        <x:v>À vérifier</x:v>
      </x:c>
      <x:c r="AD122" s="12" t="str"/>
      <x:c r="AE122" s="12" t="str"/>
      <x:c r="AF122" s="12" t="str">
        <x:v>NaCl 0,9 % ou G5 ; conc 0,8 mg/mL ; stab 6 h RT ; 24 h entre 2–8°C</x:v>
      </x:c>
      <x:c r="AG122" s="12" t="str">
        <x:v>Ne pas agiter ; filtre sur ligne de perfusion.</x:v>
      </x:c>
      <x:c r="AH122" s="12" t="str"/>
      <x:c r="AI122" s="12" t="str"/>
      <x:c r="AJ122" t="str">
        <x:f>XLOOKUP(C122,Sources!$A:$A,Sources!$J:$J,"Non")</x:f>
        <x:v>Non</x:v>
      </x:c>
      <x:c r="AK122" t="str">
        <x:f>XLOOKUP(C122,Sources!$A:$A,Sources!$K:$K,"À décider")</x:f>
        <x:v>À décider</x:v>
      </x:c>
      <x:c r="AL122" t="str">
        <x:f>XLOOKUP(C122,Sources!$A:$A,Sources!$L:$L,"Non")</x:f>
        <x:v>Non</x:v>
      </x:c>
      <x:c r="AM122" t="str">
        <x:f>XLOOKUP(C122,Sources!$A:$A,Sources!$M:$M,"Non")</x:f>
        <x:v>Non</x:v>
      </x:c>
      <x:c r="AN122" t="str">
        <x:f>XLOOKUP(C122,Sources!$A:$A,Sources!$N:$N,"À valider")</x:f>
        <x:v>À valider</x:v>
      </x:c>
    </x:row>
    <x:row r="123" ht="18" customHeight="1">
      <x:c r="A123" s="12" t="str">
        <x:v>STAB0122</x:v>
      </x:c>
      <x:c r="B123" s="12" t="str">
        <x:v>Micafungine</x:v>
      </x:c>
      <x:c r="C123" s="12" t="str">
        <x:v>SRC002</x:v>
      </x:c>
      <x:c r="D123" s="12" t="str">
        <x:v>CH de Tourcoing 2017</x:v>
      </x:c>
      <x:c r="E123" s="12" t="str">
        <x:v>Protocole local</x:v>
      </x:c>
      <x:c r="F123" s="12" t="str">
        <x:v>poche</x:v>
      </x:c>
      <x:c r="G123" s="12" t="str">
        <x:v>Poche soluté classique</x:v>
      </x:c>
      <x:c r="H123" s="12" t="str">
        <x:v>Discontinue recommandée ; perfusion 60 min ; abri lumière</x:v>
      </x:c>
      <x:c r="I123" s="12" t="str">
        <x:v>Oui</x:v>
      </x:c>
      <x:c r="J123" s="12" t="str">
        <x:v>Oui</x:v>
      </x:c>
      <x:c r="K123" s="12" t="str">
        <x:v>NaCl 0,9 % / G5</x:v>
      </x:c>
      <x:c r="L123" s="12"/>
      <x:c r="M123" s="12"/>
      <x:c r="N123" s="12" t="str"/>
      <x:c r="O123" s="12"/>
      <x:c r="P123" s="12"/>
      <x:c r="Q123" s="12" t="n">
        <x:v>25</x:v>
      </x:c>
      <x:c r="R123" s="12" t="n">
        <x:v>25</x:v>
      </x:c>
      <x:c r="S123" s="12" t="str">
        <x:v>25°C</x:v>
      </x:c>
      <x:c r="T123" s="12" t="n">
        <x:v>24</x:v>
      </x:c>
      <x:c r="U123" s="12"/>
      <x:c r="V123" s="12" t="str">
        <x:v>Oui</x:v>
      </x:c>
      <x:c r="W123" s="12" t="str"/>
      <x:c r="X123" s="12" t="str"/>
      <x:c r="Y123" s="12" t="str"/>
      <x:c r="Z123" s="12" t="str">
        <x:v>À compléter</x:v>
      </x:c>
      <x:c r="AA123" s="12" t="str">
        <x:v>Discontinue</x:v>
      </x:c>
      <x:c r="AB123" s="12" t="str">
        <x:v>Critique</x:v>
      </x:c>
      <x:c r="AC123" s="12" t="str">
        <x:v>À vérifier</x:v>
      </x:c>
      <x:c r="AD123" s="12" t="str"/>
      <x:c r="AE123" s="12" t="str"/>
      <x:c r="AF123" s="12" t="str">
        <x:v>NaCl 0,9 % ou G5 ; poche 100 mL ; stab 24 h à 25°C à l’abri lumière selon source</x:v>
      </x:c>
      <x:c r="AG123" s="12" t="str">
        <x:v>Ne pas agiter ; limiter la formation de mousse.</x:v>
      </x:c>
      <x:c r="AH123" s="12" t="str"/>
      <x:c r="AI123" s="12" t="str"/>
      <x:c r="AJ123" t="str">
        <x:f>XLOOKUP(C123,Sources!$A:$A,Sources!$J:$J,"Non")</x:f>
        <x:v>Non</x:v>
      </x:c>
      <x:c r="AK123" t="str">
        <x:f>XLOOKUP(C123,Sources!$A:$A,Sources!$K:$K,"À décider")</x:f>
        <x:v>À décider</x:v>
      </x:c>
      <x:c r="AL123" t="str">
        <x:f>XLOOKUP(C123,Sources!$A:$A,Sources!$L:$L,"Non")</x:f>
        <x:v>Non</x:v>
      </x:c>
      <x:c r="AM123" t="str">
        <x:f>XLOOKUP(C123,Sources!$A:$A,Sources!$M:$M,"Non")</x:f>
        <x:v>Non</x:v>
      </x:c>
      <x:c r="AN123" t="str">
        <x:f>XLOOKUP(C123,Sources!$A:$A,Sources!$N:$N,"À valider")</x:f>
        <x:v>À valider</x:v>
      </x:c>
    </x:row>
  </x:sheetData>
  <x:conditionalFormatting sqref="AB2:AB123">
    <x:cfRule type="expression" dxfId="0" priority="1">
      <x:formula>AB2="Critique"</x:formula>
    </x:cfRule>
    <x:cfRule type="expression" dxfId="1" priority="2">
      <x:formula>AB2="Vigilance"</x:formula>
    </x:cfRule>
  </x:conditionalFormatting>
  <x:conditionalFormatting sqref="AC2:AC123">
    <x:cfRule type="expression" dxfId="2" priority="3">
      <x:formula>AC2="Validé avec source"</x:formula>
    </x:cfRule>
    <x:cfRule type="expression" dxfId="3" priority="4">
      <x:formula>AC2="À vérifier"</x:formula>
    </x:cfRule>
  </x:conditionalFormatting>
  <x:dataValidations count="4">
    <x:dataValidation type="list" sqref="I2:J123">
      <x:formula1>"Oui,Non"</x:formula1>
    </x:dataValidation>
    <x:dataValidation type="list" sqref="V2:Z123">
      <x:formula1>"Oui,Non,À compléter,À éviter"</x:formula1>
    </x:dataValidation>
    <x:dataValidation type="list" sqref="AB2:AB123">
      <x:formula1>"OK,Vigilance,Critique"</x:formula1>
    </x:dataValidation>
    <x:dataValidation type="list" sqref="AC2:AC123">
      <x:formula1>"À vérifier,Validé localement,Validé avec source,Refusé / non retenu,Obsolète"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a910842a67144e2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5.170000076293945" hidden="0" customWidth="1"/>
    <x:col min="2" max="2" width="7.269999980926514" hidden="0" customWidth="1"/>
    <x:col min="3" max="3" width="4.980000019073486" hidden="0" customWidth="1"/>
    <x:col min="4" max="4" width="8.079999923706055" hidden="0" customWidth="1"/>
    <x:col min="5" max="5" width="11.4399995803833" hidden="0" customWidth="1"/>
    <x:col min="6" max="6" width="14" hidden="0" customWidth="1"/>
    <x:col min="7" max="7" width="7.670000076293945" hidden="0" customWidth="1"/>
  </x:cols>
  <x:sheetData>
    <x:row r="1" ht="18" customHeight="1">
      <x:c r="A1" s="6" t="str">
        <x:v>molecule</x:v>
      </x:c>
      <x:c r="B1" s="6" t="str">
        <x:v>atc_class</x:v>
      </x:c>
      <x:c r="C1" s="6" t="str">
        <x:v>family</x:v>
      </x:c>
      <x:c r="D1" s="6" t="str">
        <x:v>usual_use</x:v>
      </x:c>
      <x:c r="E1" s="6" t="str">
        <x:v>expert_owner</x:v>
      </x:c>
      <x:c r="F1" s="6" t="str">
        <x:v>validation_status</x:v>
      </x:c>
      <x:c r="G1" s="6" t="str">
        <x:v>comment</x:v>
      </x:c>
    </x:row>
    <x:row r="2" ht="18" customHeight="1">
      <x:c r="A2" s="12" t="str">
        <x:v>Aciclovir</x:v>
      </x:c>
      <x:c r="B2" s="12" t="str"/>
      <x:c r="C2" s="12" t="str"/>
      <x:c r="D2" s="12" t="str"/>
      <x:c r="E2" s="12" t="str"/>
      <x:c r="F2" s="12" t="str">
        <x:v>À vérifier</x:v>
      </x:c>
      <x:c r="G2" s="12" t="str"/>
    </x:row>
    <x:row r="3" ht="18" customHeight="1">
      <x:c r="A3" s="12" t="str">
        <x:v>Amikacine</x:v>
      </x:c>
      <x:c r="B3" s="12" t="str"/>
      <x:c r="C3" s="12" t="str"/>
      <x:c r="D3" s="12" t="str"/>
      <x:c r="E3" s="12" t="str"/>
      <x:c r="F3" s="12" t="str">
        <x:v>À vérifier</x:v>
      </x:c>
      <x:c r="G3" s="12" t="str"/>
    </x:row>
    <x:row r="4" ht="18" customHeight="1">
      <x:c r="A4" s="12" t="str">
        <x:v>Amoxicilline</x:v>
      </x:c>
      <x:c r="B4" s="12" t="str"/>
      <x:c r="C4" s="12" t="str"/>
      <x:c r="D4" s="12" t="str"/>
      <x:c r="E4" s="12" t="str"/>
      <x:c r="F4" s="12" t="str">
        <x:v>À vérifier</x:v>
      </x:c>
      <x:c r="G4" s="12" t="str"/>
    </x:row>
    <x:row r="5" ht="18" customHeight="1">
      <x:c r="A5" s="12" t="str">
        <x:v>Amoxicilline/acide clavulanique</x:v>
      </x:c>
      <x:c r="B5" s="12" t="str"/>
      <x:c r="C5" s="12" t="str"/>
      <x:c r="D5" s="12" t="str"/>
      <x:c r="E5" s="12" t="str"/>
      <x:c r="F5" s="12" t="str">
        <x:v>À vérifier</x:v>
      </x:c>
      <x:c r="G5" s="12" t="str"/>
    </x:row>
    <x:row r="6" ht="18" customHeight="1">
      <x:c r="A6" s="12" t="str">
        <x:v>Ampicilline</x:v>
      </x:c>
      <x:c r="B6" s="12" t="str"/>
      <x:c r="C6" s="12" t="str"/>
      <x:c r="D6" s="12" t="str"/>
      <x:c r="E6" s="12" t="str"/>
      <x:c r="F6" s="12" t="str">
        <x:v>À vérifier</x:v>
      </x:c>
      <x:c r="G6" s="12" t="str"/>
    </x:row>
    <x:row r="7" ht="18" customHeight="1">
      <x:c r="A7" s="12" t="str">
        <x:v>Artesunate</x:v>
      </x:c>
      <x:c r="B7" s="12" t="str"/>
      <x:c r="C7" s="12" t="str"/>
      <x:c r="D7" s="12" t="str"/>
      <x:c r="E7" s="12" t="str"/>
      <x:c r="F7" s="12" t="str">
        <x:v>À vérifier</x:v>
      </x:c>
      <x:c r="G7" s="12" t="str"/>
    </x:row>
    <x:row r="8" ht="18" customHeight="1">
      <x:c r="A8" s="12" t="str">
        <x:v>Aztréonam</x:v>
      </x:c>
      <x:c r="B8" s="12" t="str"/>
      <x:c r="C8" s="12" t="str"/>
      <x:c r="D8" s="12" t="str"/>
      <x:c r="E8" s="12" t="str"/>
      <x:c r="F8" s="12" t="str">
        <x:v>À vérifier</x:v>
      </x:c>
      <x:c r="G8" s="12" t="str"/>
    </x:row>
    <x:row r="9" ht="18" customHeight="1">
      <x:c r="A9" s="12" t="str">
        <x:v>Caspofungine</x:v>
      </x:c>
      <x:c r="B9" s="12" t="str"/>
      <x:c r="C9" s="12" t="str"/>
      <x:c r="D9" s="12" t="str"/>
      <x:c r="E9" s="12" t="str"/>
      <x:c r="F9" s="12" t="str">
        <x:v>À vérifier</x:v>
      </x:c>
      <x:c r="G9" s="12" t="str"/>
    </x:row>
    <x:row r="10" ht="18" customHeight="1">
      <x:c r="A10" s="12" t="str">
        <x:v>Ceftazidime</x:v>
      </x:c>
      <x:c r="B10" s="12" t="str"/>
      <x:c r="C10" s="12" t="str"/>
      <x:c r="D10" s="12" t="str"/>
      <x:c r="E10" s="12" t="str"/>
      <x:c r="F10" s="12" t="str">
        <x:v>À vérifier</x:v>
      </x:c>
      <x:c r="G10" s="12" t="str"/>
    </x:row>
    <x:row r="11" ht="18" customHeight="1">
      <x:c r="A11" s="12" t="str">
        <x:v>Ceftriaxone</x:v>
      </x:c>
      <x:c r="B11" s="12" t="str"/>
      <x:c r="C11" s="12" t="str"/>
      <x:c r="D11" s="12" t="str"/>
      <x:c r="E11" s="12" t="str"/>
      <x:c r="F11" s="12" t="str">
        <x:v>À vérifier</x:v>
      </x:c>
      <x:c r="G11" s="12" t="str"/>
    </x:row>
    <x:row r="12" ht="18" customHeight="1">
      <x:c r="A12" s="12" t="str">
        <x:v>Cefuroxime</x:v>
      </x:c>
      <x:c r="B12" s="12" t="str"/>
      <x:c r="C12" s="12" t="str"/>
      <x:c r="D12" s="12" t="str"/>
      <x:c r="E12" s="12" t="str"/>
      <x:c r="F12" s="12" t="str">
        <x:v>À vérifier</x:v>
      </x:c>
      <x:c r="G12" s="12" t="str"/>
    </x:row>
    <x:row r="13" ht="18" customHeight="1">
      <x:c r="A13" s="12" t="str">
        <x:v>Ciprofloxacine</x:v>
      </x:c>
      <x:c r="B13" s="12" t="str"/>
      <x:c r="C13" s="12" t="str"/>
      <x:c r="D13" s="12" t="str"/>
      <x:c r="E13" s="12" t="str"/>
      <x:c r="F13" s="12" t="str">
        <x:v>À vérifier</x:v>
      </x:c>
      <x:c r="G13" s="12" t="str"/>
    </x:row>
    <x:row r="14" ht="18" customHeight="1">
      <x:c r="A14" s="12" t="str">
        <x:v>Clindamycine</x:v>
      </x:c>
      <x:c r="B14" s="12" t="str"/>
      <x:c r="C14" s="12" t="str"/>
      <x:c r="D14" s="12" t="str"/>
      <x:c r="E14" s="12" t="str"/>
      <x:c r="F14" s="12" t="str">
        <x:v>À vérifier</x:v>
      </x:c>
      <x:c r="G14" s="12" t="str"/>
    </x:row>
    <x:row r="15" ht="18" customHeight="1">
      <x:c r="A15" s="12" t="str">
        <x:v>Colistine</x:v>
      </x:c>
      <x:c r="B15" s="12" t="str"/>
      <x:c r="C15" s="12" t="str"/>
      <x:c r="D15" s="12" t="str"/>
      <x:c r="E15" s="12" t="str"/>
      <x:c r="F15" s="12" t="str">
        <x:v>À vérifier</x:v>
      </x:c>
      <x:c r="G15" s="12" t="str"/>
    </x:row>
    <x:row r="16" ht="18" customHeight="1">
      <x:c r="A16" s="12" t="str">
        <x:v>Cotrimoxazole IV / Bactrim®</x:v>
      </x:c>
      <x:c r="B16" s="12" t="str"/>
      <x:c r="C16" s="12" t="str"/>
      <x:c r="D16" s="12" t="str"/>
      <x:c r="E16" s="12" t="str"/>
      <x:c r="F16" s="12" t="str">
        <x:v>À vérifier</x:v>
      </x:c>
      <x:c r="G16" s="12" t="str"/>
    </x:row>
    <x:row r="17" ht="18" customHeight="1">
      <x:c r="A17" s="12" t="str">
        <x:v>Céfazoline</x:v>
      </x:c>
      <x:c r="B17" s="12" t="str"/>
      <x:c r="C17" s="12" t="str"/>
      <x:c r="D17" s="12" t="str"/>
      <x:c r="E17" s="12" t="str"/>
      <x:c r="F17" s="12" t="str">
        <x:v>À vérifier</x:v>
      </x:c>
      <x:c r="G17" s="12" t="str"/>
    </x:row>
    <x:row r="18" ht="18" customHeight="1">
      <x:c r="A18" s="12" t="str">
        <x:v>Céfotaxime</x:v>
      </x:c>
      <x:c r="B18" s="12" t="str"/>
      <x:c r="C18" s="12" t="str"/>
      <x:c r="D18" s="12" t="str"/>
      <x:c r="E18" s="12" t="str"/>
      <x:c r="F18" s="12" t="str">
        <x:v>À vérifier</x:v>
      </x:c>
      <x:c r="G18" s="12" t="str"/>
    </x:row>
    <x:row r="19" ht="18" customHeight="1">
      <x:c r="A19" s="12" t="str">
        <x:v>Céfoxitine</x:v>
      </x:c>
      <x:c r="B19" s="12" t="str"/>
      <x:c r="C19" s="12" t="str"/>
      <x:c r="D19" s="12" t="str"/>
      <x:c r="E19" s="12" t="str"/>
      <x:c r="F19" s="12" t="str">
        <x:v>À vérifier</x:v>
      </x:c>
      <x:c r="G19" s="12" t="str"/>
    </x:row>
    <x:row r="20" ht="18" customHeight="1">
      <x:c r="A20" s="12" t="str">
        <x:v>Céfépime</x:v>
      </x:c>
      <x:c r="B20" s="12" t="str"/>
      <x:c r="C20" s="12" t="str"/>
      <x:c r="D20" s="12" t="str"/>
      <x:c r="E20" s="12" t="str"/>
      <x:c r="F20" s="12" t="str">
        <x:v>À vérifier</x:v>
      </x:c>
      <x:c r="G20" s="12" t="str"/>
    </x:row>
    <x:row r="21" ht="18" customHeight="1">
      <x:c r="A21" s="12" t="str">
        <x:v>Dalbavancine</x:v>
      </x:c>
      <x:c r="B21" s="12" t="str"/>
      <x:c r="C21" s="12" t="str"/>
      <x:c r="D21" s="12" t="str"/>
      <x:c r="E21" s="12" t="str"/>
      <x:c r="F21" s="12" t="str">
        <x:v>À vérifier</x:v>
      </x:c>
      <x:c r="G21" s="12" t="str"/>
    </x:row>
    <x:row r="22" ht="18" customHeight="1">
      <x:c r="A22" s="12" t="str">
        <x:v>Daptomycine</x:v>
      </x:c>
      <x:c r="B22" s="12" t="str"/>
      <x:c r="C22" s="12" t="str"/>
      <x:c r="D22" s="12" t="str"/>
      <x:c r="E22" s="12" t="str"/>
      <x:c r="F22" s="12" t="str">
        <x:v>À vérifier</x:v>
      </x:c>
      <x:c r="G22" s="12" t="str"/>
    </x:row>
    <x:row r="23" ht="18" customHeight="1">
      <x:c r="A23" s="12" t="str">
        <x:v>Ertapénem</x:v>
      </x:c>
      <x:c r="B23" s="12" t="str"/>
      <x:c r="C23" s="12" t="str"/>
      <x:c r="D23" s="12" t="str"/>
      <x:c r="E23" s="12" t="str"/>
      <x:c r="F23" s="12" t="str">
        <x:v>À vérifier</x:v>
      </x:c>
      <x:c r="G23" s="12" t="str"/>
    </x:row>
    <x:row r="24" ht="18" customHeight="1">
      <x:c r="A24" s="12" t="str">
        <x:v>Fluconazole</x:v>
      </x:c>
      <x:c r="B24" s="12" t="str"/>
      <x:c r="C24" s="12" t="str"/>
      <x:c r="D24" s="12" t="str"/>
      <x:c r="E24" s="12" t="str"/>
      <x:c r="F24" s="12" t="str">
        <x:v>À vérifier</x:v>
      </x:c>
      <x:c r="G24" s="12" t="str"/>
    </x:row>
    <x:row r="25" ht="18" customHeight="1">
      <x:c r="A25" s="12" t="str">
        <x:v>Fosfomycine IV</x:v>
      </x:c>
      <x:c r="B25" s="12" t="str"/>
      <x:c r="C25" s="12" t="str"/>
      <x:c r="D25" s="12" t="str"/>
      <x:c r="E25" s="12" t="str"/>
      <x:c r="F25" s="12" t="str">
        <x:v>À vérifier</x:v>
      </x:c>
      <x:c r="G25" s="12" t="str"/>
    </x:row>
    <x:row r="26" ht="18" customHeight="1">
      <x:c r="A26" s="12" t="str">
        <x:v>Gentamicine</x:v>
      </x:c>
      <x:c r="B26" s="12" t="str"/>
      <x:c r="C26" s="12" t="str"/>
      <x:c r="D26" s="12" t="str"/>
      <x:c r="E26" s="12" t="str"/>
      <x:c r="F26" s="12" t="str">
        <x:v>À vérifier</x:v>
      </x:c>
      <x:c r="G26" s="12" t="str"/>
    </x:row>
    <x:row r="27" ht="18" customHeight="1">
      <x:c r="A27" s="12" t="str">
        <x:v>Imipénème/cilastatine</x:v>
      </x:c>
      <x:c r="B27" s="12" t="str"/>
      <x:c r="C27" s="12" t="str"/>
      <x:c r="D27" s="12" t="str"/>
      <x:c r="E27" s="12" t="str"/>
      <x:c r="F27" s="12" t="str">
        <x:v>À vérifier</x:v>
      </x:c>
      <x:c r="G27" s="12" t="str"/>
    </x:row>
    <x:row r="28" ht="18" customHeight="1">
      <x:c r="A28" s="12" t="str">
        <x:v>Isavuconazole</x:v>
      </x:c>
      <x:c r="B28" s="12" t="str"/>
      <x:c r="C28" s="12" t="str"/>
      <x:c r="D28" s="12" t="str"/>
      <x:c r="E28" s="12" t="str"/>
      <x:c r="F28" s="12" t="str">
        <x:v>À vérifier</x:v>
      </x:c>
      <x:c r="G28" s="12" t="str"/>
    </x:row>
    <x:row r="29" ht="18" customHeight="1">
      <x:c r="A29" s="12" t="str">
        <x:v>Levofloxacine</x:v>
      </x:c>
      <x:c r="B29" s="12" t="str"/>
      <x:c r="C29" s="12" t="str"/>
      <x:c r="D29" s="12" t="str"/>
      <x:c r="E29" s="12" t="str"/>
      <x:c r="F29" s="12" t="str">
        <x:v>À vérifier</x:v>
      </x:c>
      <x:c r="G29" s="12" t="str"/>
    </x:row>
    <x:row r="30" ht="18" customHeight="1">
      <x:c r="A30" s="12" t="str">
        <x:v>Linezolide</x:v>
      </x:c>
      <x:c r="B30" s="12" t="str"/>
      <x:c r="C30" s="12" t="str"/>
      <x:c r="D30" s="12" t="str"/>
      <x:c r="E30" s="12" t="str"/>
      <x:c r="F30" s="12" t="str">
        <x:v>À vérifier</x:v>
      </x:c>
      <x:c r="G30" s="12" t="str"/>
    </x:row>
    <x:row r="31" ht="18" customHeight="1">
      <x:c r="A31" s="12" t="str">
        <x:v>Micafungine</x:v>
      </x:c>
      <x:c r="B31" s="12" t="str"/>
      <x:c r="C31" s="12" t="str"/>
      <x:c r="D31" s="12" t="str"/>
      <x:c r="E31" s="12" t="str"/>
      <x:c r="F31" s="12" t="str">
        <x:v>À vérifier</x:v>
      </x:c>
      <x:c r="G31" s="12" t="str"/>
    </x:row>
    <x:row r="32" ht="18" customHeight="1">
      <x:c r="A32" s="12" t="str">
        <x:v>Méropénem</x:v>
      </x:c>
      <x:c r="B32" s="12" t="str"/>
      <x:c r="C32" s="12" t="str"/>
      <x:c r="D32" s="12" t="str"/>
      <x:c r="E32" s="12" t="str"/>
      <x:c r="F32" s="12" t="str">
        <x:v>À vérifier</x:v>
      </x:c>
      <x:c r="G32" s="12" t="str"/>
    </x:row>
    <x:row r="33" ht="18" customHeight="1">
      <x:c r="A33" s="12" t="str">
        <x:v>Métronidazole</x:v>
      </x:c>
      <x:c r="B33" s="12" t="str"/>
      <x:c r="C33" s="12" t="str"/>
      <x:c r="D33" s="12" t="str"/>
      <x:c r="E33" s="12" t="str"/>
      <x:c r="F33" s="12" t="str">
        <x:v>À vérifier</x:v>
      </x:c>
      <x:c r="G33" s="12" t="str"/>
    </x:row>
    <x:row r="34" ht="18" customHeight="1">
      <x:c r="A34" s="12" t="str">
        <x:v>Ofloxacine</x:v>
      </x:c>
      <x:c r="B34" s="12" t="str"/>
      <x:c r="C34" s="12" t="str"/>
      <x:c r="D34" s="12" t="str"/>
      <x:c r="E34" s="12" t="str"/>
      <x:c r="F34" s="12" t="str">
        <x:v>À vérifier</x:v>
      </x:c>
      <x:c r="G34" s="12" t="str"/>
    </x:row>
    <x:row r="35" ht="18" customHeight="1">
      <x:c r="A35" s="12" t="str">
        <x:v>Oxacilline</x:v>
      </x:c>
      <x:c r="B35" s="12" t="str"/>
      <x:c r="C35" s="12" t="str"/>
      <x:c r="D35" s="12" t="str"/>
      <x:c r="E35" s="12" t="str"/>
      <x:c r="F35" s="12" t="str">
        <x:v>À vérifier</x:v>
      </x:c>
      <x:c r="G35" s="12" t="str"/>
    </x:row>
    <x:row r="36" ht="18" customHeight="1">
      <x:c r="A36" s="12" t="str">
        <x:v>Pentamidine</x:v>
      </x:c>
      <x:c r="B36" s="12" t="str"/>
      <x:c r="C36" s="12" t="str"/>
      <x:c r="D36" s="12" t="str"/>
      <x:c r="E36" s="12" t="str"/>
      <x:c r="F36" s="12" t="str">
        <x:v>À vérifier</x:v>
      </x:c>
      <x:c r="G36" s="12" t="str"/>
    </x:row>
    <x:row r="37" ht="18" customHeight="1">
      <x:c r="A37" s="12" t="str">
        <x:v>Pipéracilline</x:v>
      </x:c>
      <x:c r="B37" s="12" t="str"/>
      <x:c r="C37" s="12" t="str"/>
      <x:c r="D37" s="12" t="str"/>
      <x:c r="E37" s="12" t="str"/>
      <x:c r="F37" s="12" t="str">
        <x:v>À vérifier</x:v>
      </x:c>
      <x:c r="G37" s="12" t="str"/>
    </x:row>
    <x:row r="38" ht="18" customHeight="1">
      <x:c r="A38" s="12" t="str">
        <x:v>Pipéracilline/tazobactam</x:v>
      </x:c>
      <x:c r="B38" s="12" t="str"/>
      <x:c r="C38" s="12" t="str"/>
      <x:c r="D38" s="12" t="str"/>
      <x:c r="E38" s="12" t="str"/>
      <x:c r="F38" s="12" t="str">
        <x:v>À vérifier</x:v>
      </x:c>
      <x:c r="G38" s="12" t="str"/>
    </x:row>
    <x:row r="39" ht="18" customHeight="1">
      <x:c r="A39" s="12" t="str">
        <x:v>Rifampicine IV</x:v>
      </x:c>
      <x:c r="B39" s="12" t="str"/>
      <x:c r="C39" s="12" t="str"/>
      <x:c r="D39" s="12" t="str"/>
      <x:c r="E39" s="12" t="str"/>
      <x:c r="F39" s="12" t="str">
        <x:v>À vérifier</x:v>
      </x:c>
      <x:c r="G39" s="12" t="str"/>
    </x:row>
    <x:row r="40" ht="18" customHeight="1">
      <x:c r="A40" s="12" t="str">
        <x:v>Spiramycine</x:v>
      </x:c>
      <x:c r="B40" s="12" t="str"/>
      <x:c r="C40" s="12" t="str"/>
      <x:c r="D40" s="12" t="str"/>
      <x:c r="E40" s="12" t="str"/>
      <x:c r="F40" s="12" t="str">
        <x:v>À vérifier</x:v>
      </x:c>
      <x:c r="G40" s="12" t="str"/>
    </x:row>
    <x:row r="41" ht="18" customHeight="1">
      <x:c r="A41" s="12" t="str">
        <x:v>Tedizolide</x:v>
      </x:c>
      <x:c r="B41" s="12" t="str"/>
      <x:c r="C41" s="12" t="str"/>
      <x:c r="D41" s="12" t="str"/>
      <x:c r="E41" s="12" t="str"/>
      <x:c r="F41" s="12" t="str">
        <x:v>À vérifier</x:v>
      </x:c>
      <x:c r="G41" s="12" t="str"/>
    </x:row>
    <x:row r="42" ht="18" customHeight="1">
      <x:c r="A42" s="12" t="str">
        <x:v>Teicoplanine</x:v>
      </x:c>
      <x:c r="B42" s="12" t="str"/>
      <x:c r="C42" s="12" t="str"/>
      <x:c r="D42" s="12" t="str"/>
      <x:c r="E42" s="12" t="str"/>
      <x:c r="F42" s="12" t="str">
        <x:v>À vérifier</x:v>
      </x:c>
      <x:c r="G42" s="12" t="str"/>
    </x:row>
    <x:row r="43" ht="18" customHeight="1">
      <x:c r="A43" s="12" t="str">
        <x:v>Ticarcilline</x:v>
      </x:c>
      <x:c r="B43" s="12" t="str"/>
      <x:c r="C43" s="12" t="str"/>
      <x:c r="D43" s="12" t="str"/>
      <x:c r="E43" s="12" t="str"/>
      <x:c r="F43" s="12" t="str">
        <x:v>À vérifier</x:v>
      </x:c>
      <x:c r="G43" s="12" t="str"/>
    </x:row>
    <x:row r="44" ht="18" customHeight="1">
      <x:c r="A44" s="12" t="str">
        <x:v>Ticarcilline/acide clavulanique</x:v>
      </x:c>
      <x:c r="B44" s="12" t="str"/>
      <x:c r="C44" s="12" t="str"/>
      <x:c r="D44" s="12" t="str"/>
      <x:c r="E44" s="12" t="str"/>
      <x:c r="F44" s="12" t="str">
        <x:v>À vérifier</x:v>
      </x:c>
      <x:c r="G44" s="12" t="str"/>
    </x:row>
    <x:row r="45" ht="18" customHeight="1">
      <x:c r="A45" s="12" t="str">
        <x:v>Tobramycine</x:v>
      </x:c>
      <x:c r="B45" s="12" t="str"/>
      <x:c r="C45" s="12" t="str"/>
      <x:c r="D45" s="12" t="str"/>
      <x:c r="E45" s="12" t="str"/>
      <x:c r="F45" s="12" t="str">
        <x:v>À vérifier</x:v>
      </x:c>
      <x:c r="G45" s="12" t="str"/>
    </x:row>
    <x:row r="46" ht="18" customHeight="1">
      <x:c r="A46" s="12" t="str">
        <x:v>Témocilline</x:v>
      </x:c>
      <x:c r="B46" s="12" t="str"/>
      <x:c r="C46" s="12" t="str"/>
      <x:c r="D46" s="12" t="str"/>
      <x:c r="E46" s="12" t="str"/>
      <x:c r="F46" s="12" t="str">
        <x:v>À vérifier</x:v>
      </x:c>
      <x:c r="G46" s="12" t="str"/>
    </x:row>
    <x:row r="47" ht="18" customHeight="1">
      <x:c r="A47" s="12" t="str">
        <x:v>Vancomycine</x:v>
      </x:c>
      <x:c r="B47" s="12" t="str"/>
      <x:c r="C47" s="12" t="str"/>
      <x:c r="D47" s="12" t="str"/>
      <x:c r="E47" s="12" t="str"/>
      <x:c r="F47" s="12" t="str">
        <x:v>À vérifier</x:v>
      </x:c>
      <x:c r="G47" s="12" t="str"/>
    </x:row>
    <x:row r="48" ht="18" customHeight="1">
      <x:c r="A48" s="12" t="str">
        <x:v>Voriconazole IV</x:v>
      </x:c>
      <x:c r="B48" s="12" t="str"/>
      <x:c r="C48" s="12" t="str"/>
      <x:c r="D48" s="12" t="str"/>
      <x:c r="E48" s="12" t="str"/>
      <x:c r="F48" s="12" t="str">
        <x:v>À vérifier</x:v>
      </x:c>
      <x:c r="G48" s="12" t="str"/>
    </x:row>
  </x:sheetData>
  <x:pageMargins left="0.7" right="0.7" top="0.75" bottom="0.75" header="0.3" footer="0.3"/>
  <x:tableParts count="1">
    <x:tablePart xmlns:r="http://schemas.openxmlformats.org/officeDocument/2006/relationships" r:id="R2c784e39eee74f39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0.5" hidden="0" customWidth="1"/>
    <x:col min="2" max="2" width="56.79999923706055" hidden="0" customWidth="1"/>
    <x:col min="3" max="3" width="12.649999618530273" hidden="0" customWidth="1"/>
    <x:col min="4" max="4" width="8.75" hidden="0" customWidth="1"/>
    <x:col min="5" max="5" width="18.440000534057617" hidden="0" customWidth="1"/>
    <x:col min="6" max="6" width="7.940000057220459" hidden="0" customWidth="1"/>
    <x:col min="7" max="7" width="16.690000534057617" hidden="0" customWidth="1"/>
    <x:col min="8" max="8" width="4.849999904632568" hidden="0" customWidth="1"/>
    <x:col min="9" max="9" width="10.359999656677246" hidden="0" customWidth="1"/>
    <x:col min="10" max="10" width="12.920000076293945" hidden="0" customWidth="1"/>
    <x:col min="11" max="11" width="12.380000114440918" hidden="0" customWidth="1"/>
    <x:col min="12" max="12" width="18.709999084472656" hidden="0" customWidth="1"/>
    <x:col min="13" max="13" width="20.190000534057617" hidden="0" customWidth="1"/>
    <x:col min="14" max="14" width="11.170000076293945" hidden="0" customWidth="1"/>
    <x:col min="15" max="15" width="52.4900016784668" hidden="0" customWidth="1"/>
  </x:cols>
  <x:sheetData>
    <x:row r="1" ht="18" customHeight="1">
      <x:c r="A1" s="15" t="str">
        <x:v>source_id</x:v>
      </x:c>
      <x:c r="B1" s="15" t="str">
        <x:v>source_name</x:v>
      </x:c>
      <x:c r="C1" s="15" t="str">
        <x:v>source_type</x:v>
      </x:c>
      <x:c r="D1" s="15" t="str">
        <x:v>priority</x:v>
      </x:c>
      <x:c r="E1" s="15" t="str">
        <x:v>default_confidence</x:v>
      </x:c>
      <x:c r="F1" s="15" t="str">
        <x:v>owner</x:v>
      </x:c>
      <x:c r="G1" s="15" t="str">
        <x:v>last_review_date</x:v>
      </x:c>
      <x:c r="H1" s="15" t="str">
        <x:v>url</x:v>
      </x:c>
      <x:c r="I1" s="15" t="str">
        <x:v>comment</x:v>
      </x:c>
      <x:c r="J1" s="15" t="str">
        <x:v>source_enabled</x:v>
      </x:c>
      <x:c r="K1" s="15" t="str">
        <x:v>visibility_scope</x:v>
      </x:c>
      <x:c r="L1" s="15" t="str">
        <x:v>include_in_public_json</x:v>
      </x:c>
      <x:c r="M1" s="15" t="str">
        <x:v>include_in_internal_json</x:v>
      </x:c>
      <x:c r="N1" s="15" t="str">
        <x:v>source_status</x:v>
      </x:c>
      <x:c r="O1" s="15" t="str">
        <x:v>governance_comment</x:v>
      </x:c>
    </x:row>
    <x:row r="2" ht="18" customHeight="1">
      <x:c r="A2" s="12" t="str">
        <x:v>SRC001</x:v>
      </x:c>
      <x:c r="B2" s="12" t="str">
        <x:v>ANAPA – données internes du laboratoire</x:v>
      </x:c>
      <x:c r="C2" s="12" t="str">
        <x:v>Protocole local</x:v>
      </x:c>
      <x:c r="D2" s="12" t="n">
        <x:v>2</x:v>
      </x:c>
      <x:c r="E2" s="12" t="str">
        <x:v>B</x:v>
      </x:c>
      <x:c r="F2" s="12" t="str"/>
      <x:c r="G2" s="12" t="str"/>
      <x:c r="H2" s="12" t="str"/>
      <x:c r="I2" s="12" t="str"/>
      <x:c r="J2" s="12" t="str">
        <x:v>Non</x:v>
      </x:c>
      <x:c r="K2" s="12" t="str">
        <x:v>À décider</x:v>
      </x:c>
      <x:c r="L2" s="12" t="str">
        <x:v>Non</x:v>
      </x:c>
      <x:c r="M2" s="12" t="str">
        <x:v>Non</x:v>
      </x:c>
      <x:c r="N2" s="12" t="str">
        <x:v>À valider</x:v>
      </x:c>
      <x:c r="O2" s="12" t="str">
        <x:v>Désactivé par défaut ; activer après validation experte si souhaité.</x:v>
      </x:c>
    </x:row>
    <x:row r="3" ht="18" customHeight="1">
      <x:c r="A3" s="12" t="str">
        <x:v>SRC002</x:v>
      </x:c>
      <x:c r="B3" s="12" t="str">
        <x:v>CH de Tourcoing 2017</x:v>
      </x:c>
      <x:c r="C3" s="12" t="str">
        <x:v>Protocole local</x:v>
      </x:c>
      <x:c r="D3" s="12" t="n">
        <x:v>2</x:v>
      </x:c>
      <x:c r="E3" s="12" t="str">
        <x:v>B</x:v>
      </x:c>
      <x:c r="F3" s="12" t="str"/>
      <x:c r="G3" s="12" t="str"/>
      <x:c r="H3" s="12" t="str"/>
      <x:c r="I3" s="12" t="str"/>
      <x:c r="J3" s="12" t="str">
        <x:v>Non</x:v>
      </x:c>
      <x:c r="K3" s="12" t="str">
        <x:v>À décider</x:v>
      </x:c>
      <x:c r="L3" s="12" t="str">
        <x:v>Non</x:v>
      </x:c>
      <x:c r="M3" s="12" t="str">
        <x:v>Non</x:v>
      </x:c>
      <x:c r="N3" s="12" t="str">
        <x:v>À valider</x:v>
      </x:c>
      <x:c r="O3" s="12" t="str">
        <x:v>Désactivé par défaut ; activer après validation experte si souhaité.</x:v>
      </x:c>
    </x:row>
    <x:row r="4" ht="18" customHeight="1">
      <x:c r="A4" s="12" t="str">
        <x:v>SRC003</x:v>
      </x:c>
      <x:c r="B4" s="12" t="str">
        <x:v>CH de Tourcoing 2017 + doc interne récent</x:v>
      </x:c>
      <x:c r="C4" s="12" t="str">
        <x:v>Protocole local</x:v>
      </x:c>
      <x:c r="D4" s="12" t="n">
        <x:v>2</x:v>
      </x:c>
      <x:c r="E4" s="12" t="str">
        <x:v>B</x:v>
      </x:c>
      <x:c r="F4" s="12" t="str"/>
      <x:c r="G4" s="12" t="str"/>
      <x:c r="H4" s="12" t="str"/>
      <x:c r="I4" s="12" t="str"/>
      <x:c r="J4" s="12" t="str">
        <x:v>Oui</x:v>
      </x:c>
      <x:c r="K4" s="12" t="str">
        <x:v>Interne hôpital</x:v>
      </x:c>
      <x:c r="L4" s="12" t="str">
        <x:v>Non</x:v>
      </x:c>
      <x:c r="M4" s="12" t="str">
        <x:v>Oui</x:v>
      </x:c>
      <x:c r="N4" s="12" t="str">
        <x:v>À valider</x:v>
      </x:c>
      <x:c r="O4" s="12" t="str">
        <x:v>Actif par défaut car contient le document interne local.</x:v>
      </x:c>
    </x:row>
    <x:row r="5" ht="18" customHeight="1">
      <x:c r="A5" s="12" t="str">
        <x:v>SRC004</x:v>
      </x:c>
      <x:c r="B5" s="12" t="str">
        <x:v>CH de Tourcoing 2017 + doc interne récent + Centre Léon Bérard – HAD</x:v>
      </x:c>
      <x:c r="C5" s="12" t="str">
        <x:v>Protocole local</x:v>
      </x:c>
      <x:c r="D5" s="12" t="n">
        <x:v>2</x:v>
      </x:c>
      <x:c r="E5" s="12" t="str">
        <x:v>B</x:v>
      </x:c>
      <x:c r="F5" s="12" t="str"/>
      <x:c r="G5" s="12" t="str"/>
      <x:c r="H5" s="12" t="str"/>
      <x:c r="I5" s="12" t="str"/>
      <x:c r="J5" s="12" t="str">
        <x:v>Oui</x:v>
      </x:c>
      <x:c r="K5" s="12" t="str">
        <x:v>Interne hôpital</x:v>
      </x:c>
      <x:c r="L5" s="12" t="str">
        <x:v>Non</x:v>
      </x:c>
      <x:c r="M5" s="12" t="str">
        <x:v>Oui</x:v>
      </x:c>
      <x:c r="N5" s="12" t="str">
        <x:v>À valider</x:v>
      </x:c>
      <x:c r="O5" s="12" t="str">
        <x:v>Actif par défaut car contient le document interne local.</x:v>
      </x:c>
    </x:row>
    <x:row r="6" ht="18" customHeight="1">
      <x:c r="A6" s="12" t="str">
        <x:v>SRC005</x:v>
      </x:c>
      <x:c r="B6" s="12" t="str">
        <x:v>Centre Léon Bérard – HAD</x:v>
      </x:c>
      <x:c r="C6" s="12" t="str">
        <x:v>Protocole local</x:v>
      </x:c>
      <x:c r="D6" s="12" t="n">
        <x:v>2</x:v>
      </x:c>
      <x:c r="E6" s="12" t="str">
        <x:v>B</x:v>
      </x:c>
      <x:c r="F6" s="12" t="str"/>
      <x:c r="G6" s="12" t="str"/>
      <x:c r="H6" s="12" t="str"/>
      <x:c r="I6" s="12" t="str"/>
      <x:c r="J6" s="12" t="str">
        <x:v>Non</x:v>
      </x:c>
      <x:c r="K6" s="12" t="str">
        <x:v>À décider</x:v>
      </x:c>
      <x:c r="L6" s="12" t="str">
        <x:v>Non</x:v>
      </x:c>
      <x:c r="M6" s="12" t="str">
        <x:v>Non</x:v>
      </x:c>
      <x:c r="N6" s="12" t="str">
        <x:v>À valider</x:v>
      </x:c>
      <x:c r="O6" s="12" t="str">
        <x:v>Désactivé par défaut ; activer après validation experte si souhaité.</x:v>
      </x:c>
    </x:row>
    <x:row r="7" ht="18" customHeight="1">
      <x:c r="A7" s="12" t="str">
        <x:v>SRC006</x:v>
      </x:c>
      <x:c r="B7" s="12" t="str">
        <x:v>Centre Léon Bérard – HAD + doc interne récent</x:v>
      </x:c>
      <x:c r="C7" s="12" t="str">
        <x:v>Protocole local</x:v>
      </x:c>
      <x:c r="D7" s="12" t="n">
        <x:v>2</x:v>
      </x:c>
      <x:c r="E7" s="12" t="str">
        <x:v>B</x:v>
      </x:c>
      <x:c r="F7" s="12" t="str"/>
      <x:c r="G7" s="12" t="str"/>
      <x:c r="H7" s="12" t="str"/>
      <x:c r="I7" s="12" t="str"/>
      <x:c r="J7" s="12" t="str">
        <x:v>Oui</x:v>
      </x:c>
      <x:c r="K7" s="12" t="str">
        <x:v>Interne hôpital</x:v>
      </x:c>
      <x:c r="L7" s="12" t="str">
        <x:v>Non</x:v>
      </x:c>
      <x:c r="M7" s="12" t="str">
        <x:v>Oui</x:v>
      </x:c>
      <x:c r="N7" s="12" t="str">
        <x:v>À valider</x:v>
      </x:c>
      <x:c r="O7" s="12" t="str">
        <x:v>Actif par défaut car contient le document interne local.</x:v>
      </x:c>
    </x:row>
    <x:row r="8" ht="18" customHeight="1">
      <x:c r="A8" s="12" t="str">
        <x:v>SRC007</x:v>
      </x:c>
      <x:c r="B8" s="12" t="str">
        <x:v>Doc interne récent</x:v>
      </x:c>
      <x:c r="C8" s="12" t="str">
        <x:v>Protocole local</x:v>
      </x:c>
      <x:c r="D8" s="12" t="n">
        <x:v>2</x:v>
      </x:c>
      <x:c r="E8" s="12" t="str">
        <x:v>B</x:v>
      </x:c>
      <x:c r="F8" s="12" t="str"/>
      <x:c r="G8" s="12" t="str"/>
      <x:c r="H8" s="12" t="str"/>
      <x:c r="I8" s="12" t="str"/>
      <x:c r="J8" s="12" t="str">
        <x:v>Oui</x:v>
      </x:c>
      <x:c r="K8" s="12" t="str">
        <x:v>Interne hôpital</x:v>
      </x:c>
      <x:c r="L8" s="12" t="str">
        <x:v>Non</x:v>
      </x:c>
      <x:c r="M8" s="12" t="str">
        <x:v>Oui</x:v>
      </x:c>
      <x:c r="N8" s="12" t="str">
        <x:v>À valider</x:v>
      </x:c>
      <x:c r="O8" s="12" t="str">
        <x:v>Actif par défaut car contient le document interne local.</x:v>
      </x:c>
    </x:row>
    <x:row r="9" ht="18" customHeight="1">
      <x:c r="A9" s="12" t="str">
        <x:v>SRC008</x:v>
      </x:c>
      <x:c r="B9" s="12" t="str">
        <x:v>Doc interne récent + CH de Tourcoing 2017</x:v>
      </x:c>
      <x:c r="C9" s="12" t="str">
        <x:v>Protocole local</x:v>
      </x:c>
      <x:c r="D9" s="12" t="n">
        <x:v>2</x:v>
      </x:c>
      <x:c r="E9" s="12" t="str">
        <x:v>B</x:v>
      </x:c>
      <x:c r="F9" s="12" t="str"/>
      <x:c r="G9" s="12" t="str"/>
      <x:c r="H9" s="12" t="str"/>
      <x:c r="I9" s="12" t="str"/>
      <x:c r="J9" s="12" t="str">
        <x:v>Oui</x:v>
      </x:c>
      <x:c r="K9" s="12" t="str">
        <x:v>Interne hôpital</x:v>
      </x:c>
      <x:c r="L9" s="12" t="str">
        <x:v>Non</x:v>
      </x:c>
      <x:c r="M9" s="12" t="str">
        <x:v>Oui</x:v>
      </x:c>
      <x:c r="N9" s="12" t="str">
        <x:v>À valider</x:v>
      </x:c>
      <x:c r="O9" s="12" t="str">
        <x:v>Actif par défaut car contient le document interne local.</x:v>
      </x:c>
    </x:row>
    <x:row r="10" ht="18" customHeight="1">
      <x:c r="A10" s="12" t="str">
        <x:v>SRC009</x:v>
      </x:c>
      <x:c r="B10" s="12" t="str">
        <x:v>Doc interne récent + Centre Léon Bérard – HAD</x:v>
      </x:c>
      <x:c r="C10" s="12" t="str">
        <x:v>Protocole local</x:v>
      </x:c>
      <x:c r="D10" s="12" t="n">
        <x:v>2</x:v>
      </x:c>
      <x:c r="E10" s="12" t="str">
        <x:v>B</x:v>
      </x:c>
      <x:c r="F10" s="12" t="str"/>
      <x:c r="G10" s="12" t="str"/>
      <x:c r="H10" s="12" t="str"/>
      <x:c r="I10" s="12" t="str"/>
      <x:c r="J10" s="12" t="str">
        <x:v>Oui</x:v>
      </x:c>
      <x:c r="K10" s="12" t="str">
        <x:v>Interne hôpital</x:v>
      </x:c>
      <x:c r="L10" s="12" t="str">
        <x:v>Non</x:v>
      </x:c>
      <x:c r="M10" s="12" t="str">
        <x:v>Oui</x:v>
      </x:c>
      <x:c r="N10" s="12" t="str">
        <x:v>À valider</x:v>
      </x:c>
      <x:c r="O10" s="12" t="str">
        <x:v>Actif par défaut car contient le document interne local.</x:v>
      </x:c>
    </x:row>
    <x:row r="11" ht="18" customHeight="1">
      <x:c r="A11" s="12" t="str">
        <x:v>SRC010</x:v>
      </x:c>
      <x:c r="B11" s="12" t="str">
        <x:v>Micrel – données internes du laboratoire</x:v>
      </x:c>
      <x:c r="C11" s="12" t="str">
        <x:v>Protocole local</x:v>
      </x:c>
      <x:c r="D11" s="12" t="n">
        <x:v>2</x:v>
      </x:c>
      <x:c r="E11" s="12" t="str">
        <x:v>B</x:v>
      </x:c>
      <x:c r="F11" s="12" t="str"/>
      <x:c r="G11" s="12" t="str"/>
      <x:c r="H11" s="12" t="str"/>
      <x:c r="I11" s="12" t="str"/>
      <x:c r="J11" s="12" t="str">
        <x:v>Non</x:v>
      </x:c>
      <x:c r="K11" s="12" t="str">
        <x:v>À décider</x:v>
      </x:c>
      <x:c r="L11" s="12" t="str">
        <x:v>Non</x:v>
      </x:c>
      <x:c r="M11" s="12" t="str">
        <x:v>Non</x:v>
      </x:c>
      <x:c r="N11" s="12" t="str">
        <x:v>À valider</x:v>
      </x:c>
      <x:c r="O11" s="12" t="str">
        <x:v>Désactivé par défaut ; activer après validation experte si souhaité.</x:v>
      </x:c>
    </x:row>
    <x:row r="12" ht="18" customHeight="1">
      <x:c r="A12" s="12" t="str">
        <x:v>SRC011</x:v>
      </x:c>
      <x:c r="B12" s="12" t="str">
        <x:v>NEOPUMP – données internes fabricant élastomère</x:v>
      </x:c>
      <x:c r="C12" s="12" t="str">
        <x:v>Protocole local</x:v>
      </x:c>
      <x:c r="D12" s="12" t="n">
        <x:v>2</x:v>
      </x:c>
      <x:c r="E12" s="12" t="str">
        <x:v>B</x:v>
      </x:c>
      <x:c r="F12" s="12" t="str"/>
      <x:c r="G12" s="12" t="str"/>
      <x:c r="H12" s="12" t="str"/>
      <x:c r="I12" s="12" t="str"/>
      <x:c r="J12" s="12" t="str">
        <x:v>Non</x:v>
      </x:c>
      <x:c r="K12" s="12" t="str">
        <x:v>À décider</x:v>
      </x:c>
      <x:c r="L12" s="12" t="str">
        <x:v>Non</x:v>
      </x:c>
      <x:c r="M12" s="12" t="str">
        <x:v>Non</x:v>
      </x:c>
      <x:c r="N12" s="12" t="str">
        <x:v>À valider</x:v>
      </x:c>
      <x:c r="O12" s="12" t="str">
        <x:v>Désactivé par défaut ; activer après validation experte si souhaité.</x:v>
      </x:c>
    </x:row>
    <x:row r="13" ht="18" customHeight="1">
      <x:c r="A13" s="12" t="str">
        <x:v>SRC012</x:v>
      </x:c>
      <x:c r="B13" s="12" t="str">
        <x:v>Protocole Pharmacie Interjurassienne + doc interne récent</x:v>
      </x:c>
      <x:c r="C13" s="12" t="str">
        <x:v>Protocole local</x:v>
      </x:c>
      <x:c r="D13" s="12" t="n">
        <x:v>2</x:v>
      </x:c>
      <x:c r="E13" s="12" t="str">
        <x:v>B</x:v>
      </x:c>
      <x:c r="F13" s="12" t="str"/>
      <x:c r="G13" s="12" t="str"/>
      <x:c r="H13" s="12" t="str"/>
      <x:c r="I13" s="12" t="str"/>
      <x:c r="J13" s="12" t="str">
        <x:v>Oui</x:v>
      </x:c>
      <x:c r="K13" s="12" t="str">
        <x:v>Interne hôpital</x:v>
      </x:c>
      <x:c r="L13" s="12" t="str">
        <x:v>Non</x:v>
      </x:c>
      <x:c r="M13" s="12" t="str">
        <x:v>Oui</x:v>
      </x:c>
      <x:c r="N13" s="12" t="str">
        <x:v>À valider</x:v>
      </x:c>
      <x:c r="O13" s="12" t="str">
        <x:v>Actif par défaut car contient le document interne local.</x:v>
      </x:c>
    </x:row>
    <x:row r="14" ht="18" customHeight="1">
      <x:c r="A14" s="12" t="str">
        <x:v>SRC013</x:v>
      </x:c>
      <x:c r="B14" s="12" t="str">
        <x:v>PubMed – littérature sélectionnée</x:v>
      </x:c>
      <x:c r="C14" s="12" t="str">
        <x:v>Publication</x:v>
      </x:c>
      <x:c r="D14" s="12" t="n">
        <x:v>3</x:v>
      </x:c>
      <x:c r="E14" s="12" t="str">
        <x:v>B</x:v>
      </x:c>
      <x:c r="F14" s="12" t="str"/>
      <x:c r="G14" s="12" t="str"/>
      <x:c r="H14" s="12" t="str"/>
      <x:c r="I14" s="12" t="str"/>
      <x:c r="J14" s="12" t="str">
        <x:v>Non</x:v>
      </x:c>
      <x:c r="K14" s="12" t="str">
        <x:v>À décider</x:v>
      </x:c>
      <x:c r="L14" s="12" t="str">
        <x:v>Non</x:v>
      </x:c>
      <x:c r="M14" s="12" t="str">
        <x:v>Non</x:v>
      </x:c>
      <x:c r="N14" s="12" t="str">
        <x:v>À valider</x:v>
      </x:c>
      <x:c r="O14" s="12" t="str">
        <x:v>Désactivé par défaut ; activer après validation experte si souhaité.</x:v>
      </x:c>
    </x:row>
    <x:row r="15" ht="18" customHeight="1">
      <x:c r="A15" s="12" t="str">
        <x:v>SRC014</x:v>
      </x:c>
      <x:c r="B15" s="12" t="str">
        <x:v>SPILF/SFPC 2025</x:v>
      </x:c>
      <x:c r="C15" s="12" t="str">
        <x:v>Guideline</x:v>
      </x:c>
      <x:c r="D15" s="12" t="n">
        <x:v>1</x:v>
      </x:c>
      <x:c r="E15" s="12" t="str">
        <x:v>A</x:v>
      </x:c>
      <x:c r="F15" s="12" t="str"/>
      <x:c r="G15" s="12" t="str"/>
      <x:c r="H15" s="12" t="str"/>
      <x:c r="I15" s="12" t="str"/>
      <x:c r="J15" s="12" t="str">
        <x:v>Non</x:v>
      </x:c>
      <x:c r="K15" s="12" t="str">
        <x:v>À décider</x:v>
      </x:c>
      <x:c r="L15" s="12" t="str">
        <x:v>Non</x:v>
      </x:c>
      <x:c r="M15" s="12" t="str">
        <x:v>Non</x:v>
      </x:c>
      <x:c r="N15" s="12" t="str">
        <x:v>À valider</x:v>
      </x:c>
      <x:c r="O15" s="12" t="str">
        <x:v>Désactivé par défaut ; activer après validation experte si souhaité.</x:v>
      </x:c>
    </x:row>
    <x:row r="16" ht="18" customHeight="1">
      <x:c r="A16" s="12" t="str">
        <x:v>SRC015</x:v>
      </x:c>
      <x:c r="B16" s="12" t="str">
        <x:v>SPILF/SFPC 2025 + CH de Tourcoing 2017 + Centre Léon Bérard – HAD</x:v>
      </x:c>
      <x:c r="C16" s="12" t="str">
        <x:v>Guideline</x:v>
      </x:c>
      <x:c r="D16" s="12" t="n">
        <x:v>1</x:v>
      </x:c>
      <x:c r="E16" s="12" t="str">
        <x:v>A</x:v>
      </x:c>
      <x:c r="F16" s="12" t="str"/>
      <x:c r="G16" s="12" t="str"/>
      <x:c r="H16" s="12" t="str"/>
      <x:c r="I16" s="12" t="str"/>
      <x:c r="J16" s="12" t="str">
        <x:v>Non</x:v>
      </x:c>
      <x:c r="K16" s="12" t="str">
        <x:v>À décider</x:v>
      </x:c>
      <x:c r="L16" s="12" t="str">
        <x:v>Non</x:v>
      </x:c>
      <x:c r="M16" s="12" t="str">
        <x:v>Non</x:v>
      </x:c>
      <x:c r="N16" s="12" t="str">
        <x:v>À valider</x:v>
      </x:c>
      <x:c r="O16" s="12" t="str">
        <x:v>Désactivé par défaut ; activer après validation experte si souhaité.</x:v>
      </x:c>
    </x:row>
    <x:row r="17" ht="18" customHeight="1">
      <x:c r="A17" s="12" t="str">
        <x:v>SRC016</x:v>
      </x:c>
      <x:c r="B17" s="12" t="str">
        <x:v>SPILF/SFPC 2025 + doc interne récent</x:v>
      </x:c>
      <x:c r="C17" s="12" t="str">
        <x:v>Guideline</x:v>
      </x:c>
      <x:c r="D17" s="12" t="n">
        <x:v>1</x:v>
      </x:c>
      <x:c r="E17" s="12" t="str">
        <x:v>A</x:v>
      </x:c>
      <x:c r="F17" s="12" t="str"/>
      <x:c r="G17" s="12" t="str"/>
      <x:c r="H17" s="12" t="str"/>
      <x:c r="I17" s="12" t="str"/>
      <x:c r="J17" s="12" t="str">
        <x:v>Oui</x:v>
      </x:c>
      <x:c r="K17" s="12" t="str">
        <x:v>Interne hôpital</x:v>
      </x:c>
      <x:c r="L17" s="12" t="str">
        <x:v>Non</x:v>
      </x:c>
      <x:c r="M17" s="12" t="str">
        <x:v>Oui</x:v>
      </x:c>
      <x:c r="N17" s="12" t="str">
        <x:v>À valider</x:v>
      </x:c>
      <x:c r="O17" s="12" t="str">
        <x:v>Actif par défaut car contient le document interne local.</x:v>
      </x:c>
    </x:row>
  </x:sheetData>
  <x:dataValidations count="4">
    <x:dataValidation type="list" sqref="J2:J200">
      <x:formula1>"Oui,Non"</x:formula1>
    </x:dataValidation>
    <x:dataValidation type="list" sqref="K2:K200">
      <x:formula1>"Public,Interne hôpital,Test / sandbox,À décider,Retiré"</x:formula1>
    </x:dataValidation>
    <x:dataValidation type="list" sqref="L2:M200">
      <x:formula1>"Oui,Non"</x:formula1>
    </x:dataValidation>
    <x:dataValidation type="list" sqref="N2:N200">
      <x:formula1>"À valider,Validée localement,Validée source originale,Désactivée,Obsolète"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3d7ffa200934aec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0.09000015258789" hidden="0" customWidth="1"/>
    <x:col min="2" max="2" width="19.25" hidden="0" customWidth="1"/>
    <x:col min="3" max="3" width="20.31999969482422" hidden="0" customWidth="1"/>
    <x:col min="4" max="4" width="15.479999542236328" hidden="0" customWidth="1"/>
    <x:col min="5" max="5" width="13.319999694824219" hidden="0" customWidth="1"/>
    <x:col min="6" max="6" width="48.86000061035156" hidden="0" customWidth="1"/>
  </x:cols>
  <x:sheetData>
    <x:row r="1" ht="18" customHeight="1">
      <x:c r="A1" s="6" t="str">
        <x:v>device_code</x:v>
      </x:c>
      <x:c r="B1" s="6" t="str">
        <x:v>device_label</x:v>
      </x:c>
      <x:c r="C1" s="6" t="str">
        <x:v>category</x:v>
      </x:c>
      <x:c r="D1" s="6" t="str">
        <x:v>typical_volume_ml</x:v>
      </x:c>
      <x:c r="E1" s="6" t="str">
        <x:v>ambulatory_use</x:v>
      </x:c>
      <x:c r="F1" s="6" t="str">
        <x:v>comment</x:v>
      </x:c>
    </x:row>
    <x:row r="2" ht="18" customHeight="1">
      <x:c r="A2" s="12" t="str">
        <x:v>poche</x:v>
      </x:c>
      <x:c r="B2" s="12" t="str">
        <x:v>Poche soluté classique</x:v>
      </x:c>
      <x:c r="C2" s="12" t="str">
        <x:v>Poche</x:v>
      </x:c>
      <x:c r="D2" s="12" t="str">
        <x:v>50;100;250;500</x:v>
      </x:c>
      <x:c r="E2" s="12" t="str">
        <x:v>Oui</x:v>
      </x:c>
      <x:c r="F2" s="12" t="str">
        <x:v>Perfusion discontinue ou continue selon stabilité</x:v>
      </x:c>
    </x:row>
    <x:row r="3" ht="18" customHeight="1">
      <x:c r="A3" s="12" t="str">
        <x:v>pse</x:v>
      </x:c>
      <x:c r="B3" s="12" t="str">
        <x:v>PSE seringue PP</x:v>
      </x:c>
      <x:c r="C3" s="12" t="str">
        <x:v>Seringue/PSE</x:v>
      </x:c>
      <x:c r="D3" s="12" t="str">
        <x:v>48</x:v>
      </x:c>
      <x:c r="E3" s="12" t="str">
        <x:v>Oui</x:v>
      </x:c>
      <x:c r="F3" s="12" t="str">
        <x:v>Solvant à préciser ; utile pour perfusion continue/fractionnée</x:v>
      </x:c>
    </x:row>
    <x:row r="4" ht="18" customHeight="1">
      <x:c r="A4" s="12" t="str">
        <x:v>elastomere</x:v>
      </x:c>
      <x:c r="B4" s="12" t="str">
        <x:v>Diffuseur élastomère</x:v>
      </x:c>
      <x:c r="C4" s="12" t="str">
        <x:v>Diffuseur</x:v>
      </x:c>
      <x:c r="D4" s="12" t="str">
        <x:v>Variable / 500</x:v>
      </x:c>
      <x:c r="E4" s="12" t="str">
        <x:v>Oui</x:v>
      </x:c>
      <x:c r="F4" s="12" t="str">
        <x:v>Ne pas extrapoler à ANAPA/Micrel</x:v>
      </x:c>
    </x:row>
    <x:row r="5" ht="18" customHeight="1">
      <x:c r="A5" s="12" t="str">
        <x:v>anapa</x:v>
      </x:c>
      <x:c r="B5" s="12" t="str">
        <x:v>ANAPA</x:v>
      </x:c>
      <x:c r="C5" s="12" t="str">
        <x:v>Diffuseur non élastomère</x:v>
      </x:c>
      <x:c r="D5" s="12" t="str">
        <x:v>250</x:v>
      </x:c>
      <x:c r="E5" s="12" t="str">
        <x:v>Oui</x:v>
      </x:c>
      <x:c r="F5" s="12" t="str">
        <x:v>Données spécifiques ANAPA</x:v>
      </x:c>
    </x:row>
    <x:row r="6" ht="18" customHeight="1">
      <x:c r="A6" s="12" t="str">
        <x:v>micrel</x:v>
      </x:c>
      <x:c r="B6" s="12" t="str">
        <x:v>Pompe Rythmic / Micrel</x:v>
      </x:c>
      <x:c r="C6" s="12" t="str">
        <x:v>Pompe ambulatoire</x:v>
      </x:c>
      <x:c r="D6" s="12" t="str">
        <x:v>100;200</x:v>
      </x:c>
      <x:c r="E6" s="12" t="str">
        <x:v>Oui</x:v>
      </x:c>
      <x:c r="F6" s="12" t="str">
        <x:v>Données spécifiques consommables Micrel/Rythmic</x:v>
      </x:c>
    </x:row>
  </x:sheetData>
  <x:pageMargins left="0.7" right="0.7" top="0.75" bottom="0.75" header="0.3" footer="0.3"/>
  <x:tableParts count="1">
    <x:tablePart xmlns:r="http://schemas.openxmlformats.org/officeDocument/2006/relationships" r:id="R7592b2b6704c4b5c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2.380000114440918" hidden="0" customWidth="1"/>
    <x:col min="2" max="2" width="7.400000095367432" hidden="0" customWidth="1"/>
    <x:col min="3" max="3" width="20.729999542236328" hidden="0" customWidth="1"/>
  </x:cols>
  <x:sheetData>
    <x:row r="1" ht="18" customHeight="1">
      <x:c r="A1" s="6" t="str">
        <x:v>solvent</x:v>
      </x:c>
      <x:c r="B1" s="6" t="str">
        <x:v>code</x:v>
      </x:c>
      <x:c r="C1" s="6" t="str">
        <x:v>default_comment</x:v>
      </x:c>
    </x:row>
    <x:row r="2" ht="18" customHeight="1">
      <x:c r="A2" s="12" t="str">
        <x:v>NaCl 0,9 %</x:v>
      </x:c>
      <x:c r="B2" s="12" t="str">
        <x:v>NACL</x:v>
      </x:c>
      <x:c r="C2" s="12" t="str"/>
    </x:row>
    <x:row r="3" ht="18" customHeight="1">
      <x:c r="A3" s="12" t="str">
        <x:v>G5</x:v>
      </x:c>
      <x:c r="B3" s="12" t="str">
        <x:v>G5</x:v>
      </x:c>
      <x:c r="C3" s="12" t="str"/>
    </x:row>
    <x:row r="4" ht="18" customHeight="1">
      <x:c r="A4" s="12" t="str">
        <x:v>NaCl 0,9 % / G5</x:v>
      </x:c>
      <x:c r="B4" s="12" t="str">
        <x:v>NACL_G5</x:v>
      </x:c>
      <x:c r="C4" s="12" t="str"/>
    </x:row>
    <x:row r="5" ht="18" customHeight="1">
      <x:c r="A5" s="12" t="str">
        <x:v>Non précisé</x:v>
      </x:c>
      <x:c r="B5" s="12" t="str">
        <x:v>UNK</x:v>
      </x:c>
      <x:c r="C5" s="12" t="str">
        <x:v>À clarifier avant validation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5.170000076293945" hidden="0" customWidth="1"/>
    <x:col min="2" max="2" width="18.709999084472656" hidden="0" customWidth="1"/>
    <x:col min="3" max="3" width="16.149999618530273" hidden="0" customWidth="1"/>
    <x:col min="4" max="4" width="40.2400016784668" hidden="0" customWidth="1"/>
    <x:col min="5" max="5" width="14" hidden="0" customWidth="1"/>
    <x:col min="6" max="6" width="7.809999942779541" hidden="0" customWidth="1"/>
  </x:cols>
  <x:sheetData>
    <x:row r="1" ht="18" customHeight="1">
      <x:c r="A1" s="6" t="str">
        <x:v>molecule</x:v>
      </x:c>
      <x:c r="B1" s="6" t="str">
        <x:v>standard_fractionation</x:v>
      </x:c>
      <x:c r="C1" s="6" t="str">
        <x:v>usual_admin_mode</x:v>
      </x:c>
      <x:c r="D1" s="6" t="str">
        <x:v>rcp_comment</x:v>
      </x:c>
      <x:c r="E1" s="6" t="str">
        <x:v>validation_status</x:v>
      </x:c>
      <x:c r="F1" s="6" t="str">
        <x:v>source_id</x:v>
      </x:c>
    </x:row>
    <x:row r="2" ht="18" customHeight="1">
      <x:c r="A2" s="12" t="str">
        <x:v>Aciclovir</x:v>
      </x:c>
      <x:c r="B2" s="12" t="str">
        <x:v>À compléter</x:v>
      </x:c>
      <x:c r="C2" s="12" t="str">
        <x:v>À compléter</x:v>
      </x:c>
      <x:c r="D2" s="12" t="str">
        <x:v>Fractionnement RCP/usuel à renseigner par expert</x:v>
      </x:c>
      <x:c r="E2" s="12" t="str">
        <x:v>À vérifier</x:v>
      </x:c>
      <x:c r="F2" s="12" t="str"/>
    </x:row>
    <x:row r="3" ht="18" customHeight="1">
      <x:c r="A3" s="12" t="str">
        <x:v>Amikacine</x:v>
      </x:c>
      <x:c r="B3" s="12" t="str">
        <x:v>À compléter</x:v>
      </x:c>
      <x:c r="C3" s="12" t="str">
        <x:v>À compléter</x:v>
      </x:c>
      <x:c r="D3" s="12" t="str">
        <x:v>Fractionnement RCP/usuel à renseigner par expert</x:v>
      </x:c>
      <x:c r="E3" s="12" t="str">
        <x:v>À vérifier</x:v>
      </x:c>
      <x:c r="F3" s="12" t="str"/>
    </x:row>
    <x:row r="4" ht="18" customHeight="1">
      <x:c r="A4" s="12" t="str">
        <x:v>Amoxicilline</x:v>
      </x:c>
      <x:c r="B4" s="12" t="str">
        <x:v>À compléter</x:v>
      </x:c>
      <x:c r="C4" s="12" t="str">
        <x:v>À compléter</x:v>
      </x:c>
      <x:c r="D4" s="12" t="str">
        <x:v>Fractionnement RCP/usuel à renseigner par expert</x:v>
      </x:c>
      <x:c r="E4" s="12" t="str">
        <x:v>À vérifier</x:v>
      </x:c>
      <x:c r="F4" s="12" t="str"/>
    </x:row>
    <x:row r="5" ht="18" customHeight="1">
      <x:c r="A5" s="12" t="str">
        <x:v>Amoxicilline/acide clavulanique</x:v>
      </x:c>
      <x:c r="B5" s="12" t="str">
        <x:v>À compléter</x:v>
      </x:c>
      <x:c r="C5" s="12" t="str">
        <x:v>À compléter</x:v>
      </x:c>
      <x:c r="D5" s="12" t="str">
        <x:v>Fractionnement RCP/usuel à renseigner par expert</x:v>
      </x:c>
      <x:c r="E5" s="12" t="str">
        <x:v>À vérifier</x:v>
      </x:c>
      <x:c r="F5" s="12" t="str"/>
    </x:row>
    <x:row r="6" ht="18" customHeight="1">
      <x:c r="A6" s="12" t="str">
        <x:v>Ampicilline</x:v>
      </x:c>
      <x:c r="B6" s="12" t="str">
        <x:v>À compléter</x:v>
      </x:c>
      <x:c r="C6" s="12" t="str">
        <x:v>À compléter</x:v>
      </x:c>
      <x:c r="D6" s="12" t="str">
        <x:v>Fractionnement RCP/usuel à renseigner par expert</x:v>
      </x:c>
      <x:c r="E6" s="12" t="str">
        <x:v>À vérifier</x:v>
      </x:c>
      <x:c r="F6" s="12" t="str"/>
    </x:row>
    <x:row r="7" ht="18" customHeight="1">
      <x:c r="A7" s="12" t="str">
        <x:v>Artesunate</x:v>
      </x:c>
      <x:c r="B7" s="12" t="str">
        <x:v>À compléter</x:v>
      </x:c>
      <x:c r="C7" s="12" t="str">
        <x:v>À compléter</x:v>
      </x:c>
      <x:c r="D7" s="12" t="str">
        <x:v>Fractionnement RCP/usuel à renseigner par expert</x:v>
      </x:c>
      <x:c r="E7" s="12" t="str">
        <x:v>À vérifier</x:v>
      </x:c>
      <x:c r="F7" s="12" t="str"/>
    </x:row>
    <x:row r="8" ht="18" customHeight="1">
      <x:c r="A8" s="12" t="str">
        <x:v>Aztréonam</x:v>
      </x:c>
      <x:c r="B8" s="12" t="str">
        <x:v>À compléter</x:v>
      </x:c>
      <x:c r="C8" s="12" t="str">
        <x:v>À compléter</x:v>
      </x:c>
      <x:c r="D8" s="12" t="str">
        <x:v>Fractionnement RCP/usuel à renseigner par expert</x:v>
      </x:c>
      <x:c r="E8" s="12" t="str">
        <x:v>À vérifier</x:v>
      </x:c>
      <x:c r="F8" s="12" t="str"/>
    </x:row>
    <x:row r="9" ht="18" customHeight="1">
      <x:c r="A9" s="12" t="str">
        <x:v>Caspofungine</x:v>
      </x:c>
      <x:c r="B9" s="12" t="str">
        <x:v>À compléter</x:v>
      </x:c>
      <x:c r="C9" s="12" t="str">
        <x:v>À compléter</x:v>
      </x:c>
      <x:c r="D9" s="12" t="str">
        <x:v>Fractionnement RCP/usuel à renseigner par expert</x:v>
      </x:c>
      <x:c r="E9" s="12" t="str">
        <x:v>À vérifier</x:v>
      </x:c>
      <x:c r="F9" s="12" t="str"/>
    </x:row>
    <x:row r="10" ht="18" customHeight="1">
      <x:c r="A10" s="12" t="str">
        <x:v>Ceftazidime</x:v>
      </x:c>
      <x:c r="B10" s="12" t="str">
        <x:v>À compléter</x:v>
      </x:c>
      <x:c r="C10" s="12" t="str">
        <x:v>À compléter</x:v>
      </x:c>
      <x:c r="D10" s="12" t="str">
        <x:v>Fractionnement RCP/usuel à renseigner par expert</x:v>
      </x:c>
      <x:c r="E10" s="12" t="str">
        <x:v>À vérifier</x:v>
      </x:c>
      <x:c r="F10" s="12" t="str"/>
    </x:row>
    <x:row r="11" ht="18" customHeight="1">
      <x:c r="A11" s="12" t="str">
        <x:v>Ceftriaxone</x:v>
      </x:c>
      <x:c r="B11" s="12" t="str">
        <x:v>À compléter</x:v>
      </x:c>
      <x:c r="C11" s="12" t="str">
        <x:v>À compléter</x:v>
      </x:c>
      <x:c r="D11" s="12" t="str">
        <x:v>Fractionnement RCP/usuel à renseigner par expert</x:v>
      </x:c>
      <x:c r="E11" s="12" t="str">
        <x:v>À vérifier</x:v>
      </x:c>
      <x:c r="F11" s="12" t="str"/>
    </x:row>
    <x:row r="12" ht="18" customHeight="1">
      <x:c r="A12" s="12" t="str">
        <x:v>Cefuroxime</x:v>
      </x:c>
      <x:c r="B12" s="12" t="str">
        <x:v>À compléter</x:v>
      </x:c>
      <x:c r="C12" s="12" t="str">
        <x:v>À compléter</x:v>
      </x:c>
      <x:c r="D12" s="12" t="str">
        <x:v>Fractionnement RCP/usuel à renseigner par expert</x:v>
      </x:c>
      <x:c r="E12" s="12" t="str">
        <x:v>À vérifier</x:v>
      </x:c>
      <x:c r="F12" s="12" t="str"/>
    </x:row>
    <x:row r="13" ht="18" customHeight="1">
      <x:c r="A13" s="12" t="str">
        <x:v>Ciprofloxacine</x:v>
      </x:c>
      <x:c r="B13" s="12" t="str">
        <x:v>À compléter</x:v>
      </x:c>
      <x:c r="C13" s="12" t="str">
        <x:v>À compléter</x:v>
      </x:c>
      <x:c r="D13" s="12" t="str">
        <x:v>Fractionnement RCP/usuel à renseigner par expert</x:v>
      </x:c>
      <x:c r="E13" s="12" t="str">
        <x:v>À vérifier</x:v>
      </x:c>
      <x:c r="F13" s="12" t="str"/>
    </x:row>
    <x:row r="14" ht="18" customHeight="1">
      <x:c r="A14" s="12" t="str">
        <x:v>Clindamycine</x:v>
      </x:c>
      <x:c r="B14" s="12" t="str">
        <x:v>À compléter</x:v>
      </x:c>
      <x:c r="C14" s="12" t="str">
        <x:v>À compléter</x:v>
      </x:c>
      <x:c r="D14" s="12" t="str">
        <x:v>Fractionnement RCP/usuel à renseigner par expert</x:v>
      </x:c>
      <x:c r="E14" s="12" t="str">
        <x:v>À vérifier</x:v>
      </x:c>
      <x:c r="F14" s="12" t="str"/>
    </x:row>
    <x:row r="15" ht="18" customHeight="1">
      <x:c r="A15" s="12" t="str">
        <x:v>Colistine</x:v>
      </x:c>
      <x:c r="B15" s="12" t="str">
        <x:v>À compléter</x:v>
      </x:c>
      <x:c r="C15" s="12" t="str">
        <x:v>À compléter</x:v>
      </x:c>
      <x:c r="D15" s="12" t="str">
        <x:v>Fractionnement RCP/usuel à renseigner par expert</x:v>
      </x:c>
      <x:c r="E15" s="12" t="str">
        <x:v>À vérifier</x:v>
      </x:c>
      <x:c r="F15" s="12" t="str"/>
    </x:row>
    <x:row r="16" ht="18" customHeight="1">
      <x:c r="A16" s="12" t="str">
        <x:v>Cotrimoxazole IV / Bactrim®</x:v>
      </x:c>
      <x:c r="B16" s="12" t="str">
        <x:v>À compléter</x:v>
      </x:c>
      <x:c r="C16" s="12" t="str">
        <x:v>À compléter</x:v>
      </x:c>
      <x:c r="D16" s="12" t="str">
        <x:v>Fractionnement RCP/usuel à renseigner par expert</x:v>
      </x:c>
      <x:c r="E16" s="12" t="str">
        <x:v>À vérifier</x:v>
      </x:c>
      <x:c r="F16" s="12" t="str"/>
    </x:row>
    <x:row r="17" ht="18" customHeight="1">
      <x:c r="A17" s="12" t="str">
        <x:v>Céfazoline</x:v>
      </x:c>
      <x:c r="B17" s="12" t="str">
        <x:v>À compléter</x:v>
      </x:c>
      <x:c r="C17" s="12" t="str">
        <x:v>À compléter</x:v>
      </x:c>
      <x:c r="D17" s="12" t="str">
        <x:v>Fractionnement RCP/usuel à renseigner par expert</x:v>
      </x:c>
      <x:c r="E17" s="12" t="str">
        <x:v>À vérifier</x:v>
      </x:c>
      <x:c r="F17" s="12" t="str"/>
    </x:row>
    <x:row r="18" ht="18" customHeight="1">
      <x:c r="A18" s="12" t="str">
        <x:v>Céfotaxime</x:v>
      </x:c>
      <x:c r="B18" s="12" t="str">
        <x:v>À compléter</x:v>
      </x:c>
      <x:c r="C18" s="12" t="str">
        <x:v>À compléter</x:v>
      </x:c>
      <x:c r="D18" s="12" t="str">
        <x:v>Fractionnement RCP/usuel à renseigner par expert</x:v>
      </x:c>
      <x:c r="E18" s="12" t="str">
        <x:v>À vérifier</x:v>
      </x:c>
      <x:c r="F18" s="12" t="str"/>
    </x:row>
    <x:row r="19" ht="18" customHeight="1">
      <x:c r="A19" s="12" t="str">
        <x:v>Céfoxitine</x:v>
      </x:c>
      <x:c r="B19" s="12" t="str">
        <x:v>À compléter</x:v>
      </x:c>
      <x:c r="C19" s="12" t="str">
        <x:v>À compléter</x:v>
      </x:c>
      <x:c r="D19" s="12" t="str">
        <x:v>Fractionnement RCP/usuel à renseigner par expert</x:v>
      </x:c>
      <x:c r="E19" s="12" t="str">
        <x:v>À vérifier</x:v>
      </x:c>
      <x:c r="F19" s="12" t="str"/>
    </x:row>
    <x:row r="20" ht="18" customHeight="1">
      <x:c r="A20" s="12" t="str">
        <x:v>Céfépime</x:v>
      </x:c>
      <x:c r="B20" s="12" t="str">
        <x:v>À compléter</x:v>
      </x:c>
      <x:c r="C20" s="12" t="str">
        <x:v>À compléter</x:v>
      </x:c>
      <x:c r="D20" s="12" t="str">
        <x:v>Fractionnement RCP/usuel à renseigner par expert</x:v>
      </x:c>
      <x:c r="E20" s="12" t="str">
        <x:v>À vérifier</x:v>
      </x:c>
      <x:c r="F20" s="12" t="str"/>
    </x:row>
    <x:row r="21" ht="18" customHeight="1">
      <x:c r="A21" s="12" t="str">
        <x:v>Dalbavancine</x:v>
      </x:c>
      <x:c r="B21" s="12" t="str">
        <x:v>À compléter</x:v>
      </x:c>
      <x:c r="C21" s="12" t="str">
        <x:v>À compléter</x:v>
      </x:c>
      <x:c r="D21" s="12" t="str">
        <x:v>Fractionnement RCP/usuel à renseigner par expert</x:v>
      </x:c>
      <x:c r="E21" s="12" t="str">
        <x:v>À vérifier</x:v>
      </x:c>
      <x:c r="F21" s="12" t="str"/>
    </x:row>
    <x:row r="22" ht="18" customHeight="1">
      <x:c r="A22" s="12" t="str">
        <x:v>Daptomycine</x:v>
      </x:c>
      <x:c r="B22" s="12" t="str">
        <x:v>À compléter</x:v>
      </x:c>
      <x:c r="C22" s="12" t="str">
        <x:v>À compléter</x:v>
      </x:c>
      <x:c r="D22" s="12" t="str">
        <x:v>Fractionnement RCP/usuel à renseigner par expert</x:v>
      </x:c>
      <x:c r="E22" s="12" t="str">
        <x:v>À vérifier</x:v>
      </x:c>
      <x:c r="F22" s="12" t="str"/>
    </x:row>
    <x:row r="23" ht="18" customHeight="1">
      <x:c r="A23" s="12" t="str">
        <x:v>Ertapénem</x:v>
      </x:c>
      <x:c r="B23" s="12" t="str">
        <x:v>À compléter</x:v>
      </x:c>
      <x:c r="C23" s="12" t="str">
        <x:v>À compléter</x:v>
      </x:c>
      <x:c r="D23" s="12" t="str">
        <x:v>Fractionnement RCP/usuel à renseigner par expert</x:v>
      </x:c>
      <x:c r="E23" s="12" t="str">
        <x:v>À vérifier</x:v>
      </x:c>
      <x:c r="F23" s="12" t="str"/>
    </x:row>
    <x:row r="24" ht="18" customHeight="1">
      <x:c r="A24" s="12" t="str">
        <x:v>Fluconazole</x:v>
      </x:c>
      <x:c r="B24" s="12" t="str">
        <x:v>À compléter</x:v>
      </x:c>
      <x:c r="C24" s="12" t="str">
        <x:v>À compléter</x:v>
      </x:c>
      <x:c r="D24" s="12" t="str">
        <x:v>Fractionnement RCP/usuel à renseigner par expert</x:v>
      </x:c>
      <x:c r="E24" s="12" t="str">
        <x:v>À vérifier</x:v>
      </x:c>
      <x:c r="F24" s="12" t="str"/>
    </x:row>
    <x:row r="25" ht="18" customHeight="1">
      <x:c r="A25" s="12" t="str">
        <x:v>Fosfomycine IV</x:v>
      </x:c>
      <x:c r="B25" s="12" t="str">
        <x:v>À compléter</x:v>
      </x:c>
      <x:c r="C25" s="12" t="str">
        <x:v>À compléter</x:v>
      </x:c>
      <x:c r="D25" s="12" t="str">
        <x:v>Fractionnement RCP/usuel à renseigner par expert</x:v>
      </x:c>
      <x:c r="E25" s="12" t="str">
        <x:v>À vérifier</x:v>
      </x:c>
      <x:c r="F25" s="12" t="str"/>
    </x:row>
    <x:row r="26" ht="18" customHeight="1">
      <x:c r="A26" s="12" t="str">
        <x:v>Gentamicine</x:v>
      </x:c>
      <x:c r="B26" s="12" t="str">
        <x:v>À compléter</x:v>
      </x:c>
      <x:c r="C26" s="12" t="str">
        <x:v>À compléter</x:v>
      </x:c>
      <x:c r="D26" s="12" t="str">
        <x:v>Fractionnement RCP/usuel à renseigner par expert</x:v>
      </x:c>
      <x:c r="E26" s="12" t="str">
        <x:v>À vérifier</x:v>
      </x:c>
      <x:c r="F26" s="12" t="str"/>
    </x:row>
    <x:row r="27" ht="18" customHeight="1">
      <x:c r="A27" s="12" t="str">
        <x:v>Imipénème/cilastatine</x:v>
      </x:c>
      <x:c r="B27" s="12" t="str">
        <x:v>À compléter</x:v>
      </x:c>
      <x:c r="C27" s="12" t="str">
        <x:v>À compléter</x:v>
      </x:c>
      <x:c r="D27" s="12" t="str">
        <x:v>Fractionnement RCP/usuel à renseigner par expert</x:v>
      </x:c>
      <x:c r="E27" s="12" t="str">
        <x:v>À vérifier</x:v>
      </x:c>
      <x:c r="F27" s="12" t="str"/>
    </x:row>
    <x:row r="28" ht="18" customHeight="1">
      <x:c r="A28" s="12" t="str">
        <x:v>Isavuconazole</x:v>
      </x:c>
      <x:c r="B28" s="12" t="str">
        <x:v>À compléter</x:v>
      </x:c>
      <x:c r="C28" s="12" t="str">
        <x:v>À compléter</x:v>
      </x:c>
      <x:c r="D28" s="12" t="str">
        <x:v>Fractionnement RCP/usuel à renseigner par expert</x:v>
      </x:c>
      <x:c r="E28" s="12" t="str">
        <x:v>À vérifier</x:v>
      </x:c>
      <x:c r="F28" s="12" t="str"/>
    </x:row>
    <x:row r="29" ht="18" customHeight="1">
      <x:c r="A29" s="12" t="str">
        <x:v>Levofloxacine</x:v>
      </x:c>
      <x:c r="B29" s="12" t="str">
        <x:v>À compléter</x:v>
      </x:c>
      <x:c r="C29" s="12" t="str">
        <x:v>À compléter</x:v>
      </x:c>
      <x:c r="D29" s="12" t="str">
        <x:v>Fractionnement RCP/usuel à renseigner par expert</x:v>
      </x:c>
      <x:c r="E29" s="12" t="str">
        <x:v>À vérifier</x:v>
      </x:c>
      <x:c r="F29" s="12" t="str"/>
    </x:row>
    <x:row r="30" ht="18" customHeight="1">
      <x:c r="A30" s="12" t="str">
        <x:v>Linezolide</x:v>
      </x:c>
      <x:c r="B30" s="12" t="str">
        <x:v>À compléter</x:v>
      </x:c>
      <x:c r="C30" s="12" t="str">
        <x:v>À compléter</x:v>
      </x:c>
      <x:c r="D30" s="12" t="str">
        <x:v>Fractionnement RCP/usuel à renseigner par expert</x:v>
      </x:c>
      <x:c r="E30" s="12" t="str">
        <x:v>À vérifier</x:v>
      </x:c>
      <x:c r="F30" s="12" t="str"/>
    </x:row>
    <x:row r="31" ht="18" customHeight="1">
      <x:c r="A31" s="12" t="str">
        <x:v>Micafungine</x:v>
      </x:c>
      <x:c r="B31" s="12" t="str">
        <x:v>À compléter</x:v>
      </x:c>
      <x:c r="C31" s="12" t="str">
        <x:v>À compléter</x:v>
      </x:c>
      <x:c r="D31" s="12" t="str">
        <x:v>Fractionnement RCP/usuel à renseigner par expert</x:v>
      </x:c>
      <x:c r="E31" s="12" t="str">
        <x:v>À vérifier</x:v>
      </x:c>
      <x:c r="F31" s="12" t="str"/>
    </x:row>
    <x:row r="32" ht="18" customHeight="1">
      <x:c r="A32" s="12" t="str">
        <x:v>Méropénem</x:v>
      </x:c>
      <x:c r="B32" s="12" t="str">
        <x:v>À compléter</x:v>
      </x:c>
      <x:c r="C32" s="12" t="str">
        <x:v>À compléter</x:v>
      </x:c>
      <x:c r="D32" s="12" t="str">
        <x:v>Fractionnement RCP/usuel à renseigner par expert</x:v>
      </x:c>
      <x:c r="E32" s="12" t="str">
        <x:v>À vérifier</x:v>
      </x:c>
      <x:c r="F32" s="12" t="str"/>
    </x:row>
    <x:row r="33" ht="18" customHeight="1">
      <x:c r="A33" s="12" t="str">
        <x:v>Métronidazole</x:v>
      </x:c>
      <x:c r="B33" s="12" t="str">
        <x:v>À compléter</x:v>
      </x:c>
      <x:c r="C33" s="12" t="str">
        <x:v>À compléter</x:v>
      </x:c>
      <x:c r="D33" s="12" t="str">
        <x:v>Fractionnement RCP/usuel à renseigner par expert</x:v>
      </x:c>
      <x:c r="E33" s="12" t="str">
        <x:v>À vérifier</x:v>
      </x:c>
      <x:c r="F33" s="12" t="str"/>
    </x:row>
    <x:row r="34" ht="18" customHeight="1">
      <x:c r="A34" s="12" t="str">
        <x:v>Ofloxacine</x:v>
      </x:c>
      <x:c r="B34" s="12" t="str">
        <x:v>À compléter</x:v>
      </x:c>
      <x:c r="C34" s="12" t="str">
        <x:v>À compléter</x:v>
      </x:c>
      <x:c r="D34" s="12" t="str">
        <x:v>Fractionnement RCP/usuel à renseigner par expert</x:v>
      </x:c>
      <x:c r="E34" s="12" t="str">
        <x:v>À vérifier</x:v>
      </x:c>
      <x:c r="F34" s="12" t="str"/>
    </x:row>
    <x:row r="35" ht="18" customHeight="1">
      <x:c r="A35" s="12" t="str">
        <x:v>Oxacilline</x:v>
      </x:c>
      <x:c r="B35" s="12" t="str">
        <x:v>À compléter</x:v>
      </x:c>
      <x:c r="C35" s="12" t="str">
        <x:v>À compléter</x:v>
      </x:c>
      <x:c r="D35" s="12" t="str">
        <x:v>Fractionnement RCP/usuel à renseigner par expert</x:v>
      </x:c>
      <x:c r="E35" s="12" t="str">
        <x:v>À vérifier</x:v>
      </x:c>
      <x:c r="F35" s="12" t="str"/>
    </x:row>
    <x:row r="36" ht="18" customHeight="1">
      <x:c r="A36" s="12" t="str">
        <x:v>Pentamidine</x:v>
      </x:c>
      <x:c r="B36" s="12" t="str">
        <x:v>À compléter</x:v>
      </x:c>
      <x:c r="C36" s="12" t="str">
        <x:v>À compléter</x:v>
      </x:c>
      <x:c r="D36" s="12" t="str">
        <x:v>Fractionnement RCP/usuel à renseigner par expert</x:v>
      </x:c>
      <x:c r="E36" s="12" t="str">
        <x:v>À vérifier</x:v>
      </x:c>
      <x:c r="F36" s="12" t="str"/>
    </x:row>
    <x:row r="37" ht="18" customHeight="1">
      <x:c r="A37" s="12" t="str">
        <x:v>Pipéracilline</x:v>
      </x:c>
      <x:c r="B37" s="12" t="str">
        <x:v>À compléter</x:v>
      </x:c>
      <x:c r="C37" s="12" t="str">
        <x:v>À compléter</x:v>
      </x:c>
      <x:c r="D37" s="12" t="str">
        <x:v>Fractionnement RCP/usuel à renseigner par expert</x:v>
      </x:c>
      <x:c r="E37" s="12" t="str">
        <x:v>À vérifier</x:v>
      </x:c>
      <x:c r="F37" s="12" t="str"/>
    </x:row>
    <x:row r="38" ht="18" customHeight="1">
      <x:c r="A38" s="12" t="str">
        <x:v>Pipéracilline/tazobactam</x:v>
      </x:c>
      <x:c r="B38" s="12" t="str">
        <x:v>À compléter</x:v>
      </x:c>
      <x:c r="C38" s="12" t="str">
        <x:v>À compléter</x:v>
      </x:c>
      <x:c r="D38" s="12" t="str">
        <x:v>Fractionnement RCP/usuel à renseigner par expert</x:v>
      </x:c>
      <x:c r="E38" s="12" t="str">
        <x:v>À vérifier</x:v>
      </x:c>
      <x:c r="F38" s="12" t="str"/>
    </x:row>
    <x:row r="39" ht="18" customHeight="1">
      <x:c r="A39" s="12" t="str">
        <x:v>Rifampicine IV</x:v>
      </x:c>
      <x:c r="B39" s="12" t="str">
        <x:v>À compléter</x:v>
      </x:c>
      <x:c r="C39" s="12" t="str">
        <x:v>À compléter</x:v>
      </x:c>
      <x:c r="D39" s="12" t="str">
        <x:v>Fractionnement RCP/usuel à renseigner par expert</x:v>
      </x:c>
      <x:c r="E39" s="12" t="str">
        <x:v>À vérifier</x:v>
      </x:c>
      <x:c r="F39" s="12" t="str"/>
    </x:row>
    <x:row r="40" ht="18" customHeight="1">
      <x:c r="A40" s="12" t="str">
        <x:v>Spiramycine</x:v>
      </x:c>
      <x:c r="B40" s="12" t="str">
        <x:v>À compléter</x:v>
      </x:c>
      <x:c r="C40" s="12" t="str">
        <x:v>À compléter</x:v>
      </x:c>
      <x:c r="D40" s="12" t="str">
        <x:v>Fractionnement RCP/usuel à renseigner par expert</x:v>
      </x:c>
      <x:c r="E40" s="12" t="str">
        <x:v>À vérifier</x:v>
      </x:c>
      <x:c r="F40" s="12" t="str"/>
    </x:row>
    <x:row r="41" ht="18" customHeight="1">
      <x:c r="A41" s="12" t="str">
        <x:v>Tedizolide</x:v>
      </x:c>
      <x:c r="B41" s="12" t="str">
        <x:v>À compléter</x:v>
      </x:c>
      <x:c r="C41" s="12" t="str">
        <x:v>À compléter</x:v>
      </x:c>
      <x:c r="D41" s="12" t="str">
        <x:v>Fractionnement RCP/usuel à renseigner par expert</x:v>
      </x:c>
      <x:c r="E41" s="12" t="str">
        <x:v>À vérifier</x:v>
      </x:c>
      <x:c r="F41" s="12" t="str"/>
    </x:row>
    <x:row r="42" ht="18" customHeight="1">
      <x:c r="A42" s="12" t="str">
        <x:v>Teicoplanine</x:v>
      </x:c>
      <x:c r="B42" s="12" t="str">
        <x:v>À compléter</x:v>
      </x:c>
      <x:c r="C42" s="12" t="str">
        <x:v>À compléter</x:v>
      </x:c>
      <x:c r="D42" s="12" t="str">
        <x:v>Fractionnement RCP/usuel à renseigner par expert</x:v>
      </x:c>
      <x:c r="E42" s="12" t="str">
        <x:v>À vérifier</x:v>
      </x:c>
      <x:c r="F42" s="12" t="str"/>
    </x:row>
    <x:row r="43" ht="18" customHeight="1">
      <x:c r="A43" s="12" t="str">
        <x:v>Ticarcilline</x:v>
      </x:c>
      <x:c r="B43" s="12" t="str">
        <x:v>À compléter</x:v>
      </x:c>
      <x:c r="C43" s="12" t="str">
        <x:v>À compléter</x:v>
      </x:c>
      <x:c r="D43" s="12" t="str">
        <x:v>Fractionnement RCP/usuel à renseigner par expert</x:v>
      </x:c>
      <x:c r="E43" s="12" t="str">
        <x:v>À vérifier</x:v>
      </x:c>
      <x:c r="F43" s="12" t="str"/>
    </x:row>
    <x:row r="44" ht="18" customHeight="1">
      <x:c r="A44" s="12" t="str">
        <x:v>Ticarcilline/acide clavulanique</x:v>
      </x:c>
      <x:c r="B44" s="12" t="str">
        <x:v>À compléter</x:v>
      </x:c>
      <x:c r="C44" s="12" t="str">
        <x:v>À compléter</x:v>
      </x:c>
      <x:c r="D44" s="12" t="str">
        <x:v>Fractionnement RCP/usuel à renseigner par expert</x:v>
      </x:c>
      <x:c r="E44" s="12" t="str">
        <x:v>À vérifier</x:v>
      </x:c>
      <x:c r="F44" s="12" t="str"/>
    </x:row>
    <x:row r="45" ht="18" customHeight="1">
      <x:c r="A45" s="12" t="str">
        <x:v>Tobramycine</x:v>
      </x:c>
      <x:c r="B45" s="12" t="str">
        <x:v>À compléter</x:v>
      </x:c>
      <x:c r="C45" s="12" t="str">
        <x:v>À compléter</x:v>
      </x:c>
      <x:c r="D45" s="12" t="str">
        <x:v>Fractionnement RCP/usuel à renseigner par expert</x:v>
      </x:c>
      <x:c r="E45" s="12" t="str">
        <x:v>À vérifier</x:v>
      </x:c>
      <x:c r="F45" s="12" t="str"/>
    </x:row>
    <x:row r="46" ht="18" customHeight="1">
      <x:c r="A46" s="12" t="str">
        <x:v>Témocilline</x:v>
      </x:c>
      <x:c r="B46" s="12" t="str">
        <x:v>À compléter</x:v>
      </x:c>
      <x:c r="C46" s="12" t="str">
        <x:v>À compléter</x:v>
      </x:c>
      <x:c r="D46" s="12" t="str">
        <x:v>Fractionnement RCP/usuel à renseigner par expert</x:v>
      </x:c>
      <x:c r="E46" s="12" t="str">
        <x:v>À vérifier</x:v>
      </x:c>
      <x:c r="F46" s="12" t="str"/>
    </x:row>
    <x:row r="47" ht="18" customHeight="1">
      <x:c r="A47" s="12" t="str">
        <x:v>Vancomycine</x:v>
      </x:c>
      <x:c r="B47" s="12" t="str">
        <x:v>À compléter</x:v>
      </x:c>
      <x:c r="C47" s="12" t="str">
        <x:v>À compléter</x:v>
      </x:c>
      <x:c r="D47" s="12" t="str">
        <x:v>Fractionnement RCP/usuel à renseigner par expert</x:v>
      </x:c>
      <x:c r="E47" s="12" t="str">
        <x:v>À vérifier</x:v>
      </x:c>
      <x:c r="F47" s="12" t="str"/>
    </x:row>
    <x:row r="48" ht="18" customHeight="1">
      <x:c r="A48" s="12" t="str">
        <x:v>Voriconazole IV</x:v>
      </x:c>
      <x:c r="B48" s="12" t="str">
        <x:v>À compléter</x:v>
      </x:c>
      <x:c r="C48" s="12" t="str">
        <x:v>À compléter</x:v>
      </x:c>
      <x:c r="D48" s="12" t="str">
        <x:v>Fractionnement RCP/usuel à renseigner par expert</x:v>
      </x:c>
      <x:c r="E48" s="12" t="str">
        <x:v>À vérifier</x:v>
      </x:c>
      <x:c r="F48" s="12" t="str"/>
    </x:row>
  </x:sheetData>
  <x:dataValidations count="1">
    <x:dataValidation type="list" sqref="E2:E48">
      <x:formula1>"À vérifier,Validé localement,Validé avec source,Refusé / non retenu,Obsolète"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5fe088094d04931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9.6899995803833" hidden="0" customWidth="1"/>
    <x:col min="2" max="2" width="13.319999694824219" hidden="0" customWidth="1"/>
    <x:col min="3" max="3" width="5.920000076293945" hidden="0" customWidth="1"/>
    <x:col min="4" max="4" width="11.3100004196167" hidden="0" customWidth="1"/>
    <x:col min="5" max="5" width="33.2400016784668" hidden="0" customWidth="1"/>
    <x:col min="6" max="6" width="7.670000076293945" hidden="0" customWidth="1"/>
    <x:col min="7" max="7" width="7.809999942779541" hidden="0" customWidth="1"/>
    <x:col min="8" max="8" width="7.670000076293945" hidden="0" customWidth="1"/>
    <x:col min="9" max="9" width="14" hidden="0" customWidth="1"/>
  </x:cols>
  <x:sheetData>
    <x:row r="1" ht="18" customHeight="1">
      <x:c r="A1" s="6" t="str">
        <x:v>molecule</x:v>
      </x:c>
      <x:c r="B1" s="6" t="str">
        <x:v>y_site_molecule</x:v>
      </x:c>
      <x:c r="C1" s="6" t="str">
        <x:v>solvent</x:v>
      </x:c>
      <x:c r="D1" s="6" t="str">
        <x:v>concentration</x:v>
      </x:c>
      <x:c r="E1" s="6" t="str">
        <x:v>status</x:v>
      </x:c>
      <x:c r="F1" s="6" t="str">
        <x:v>condition</x:v>
      </x:c>
      <x:c r="G1" s="6" t="str">
        <x:v>source_id</x:v>
      </x:c>
      <x:c r="H1" s="6" t="str">
        <x:v>comment</x:v>
      </x:c>
      <x:c r="I1" s="6" t="str">
        <x:v>validation_status</x:v>
      </x:c>
    </x:row>
    <x:row r="2" ht="18" customHeight="1">
      <x:c r="A2" s="12" t="str">
        <x:v>À compléter</x:v>
      </x:c>
      <x:c r="B2" s="12" t="str">
        <x:v>À compléter</x:v>
      </x:c>
      <x:c r="C2" s="12" t="str"/>
      <x:c r="D2" s="12" t="str"/>
      <x:c r="E2" s="12" t="str">
        <x:v>Compatible / Incompatible / Conditionnel</x:v>
      </x:c>
      <x:c r="F2" s="12" t="str"/>
      <x:c r="G2" s="12" t="str"/>
      <x:c r="H2" s="12" t="str"/>
      <x:c r="I2" s="12" t="str">
        <x:v>À vérifier</x:v>
      </x:c>
    </x:row>
  </x:sheetData>
  <x:dataValidations count="2">
    <x:dataValidation type="list" sqref="E2:E500">
      <x:formula1>"Compatible,Incompatible,Conditionnel,Non documenté"</x:formula1>
    </x:dataValidation>
    <x:dataValidation type="list" sqref="I2:I500">
      <x:formula1>"À vérifier,Validé localement,Validé avec source,Refusé / non retenu,Obsolète"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3.959999084472656" hidden="0" customWidth="1"/>
    <x:col min="2" max="2" width="61.369998931884766" hidden="0" customWidth="1"/>
    <x:col min="3" max="3" width="9.020000457763672" hidden="0" customWidth="1"/>
    <x:col min="4" max="4" width="56.79999923706055" hidden="0" customWidth="1"/>
  </x:cols>
  <x:sheetData>
    <x:row r="1" ht="18" customHeight="1">
      <x:c r="A1" s="6" t="str">
        <x:v>field</x:v>
      </x:c>
      <x:c r="B1" s="6" t="str">
        <x:v>accepted_values</x:v>
      </x:c>
      <x:c r="C1" s="6" t="str">
        <x:v>mandatory</x:v>
      </x:c>
      <x:c r="D1" s="6" t="str">
        <x:v>comment</x:v>
      </x:c>
    </x:row>
    <x:row r="2" ht="18" customHeight="1">
      <x:c r="A2" s="12" t="str">
        <x:v>expert_validation_status</x:v>
      </x:c>
      <x:c r="B2" s="12" t="str">
        <x:v>À vérifier;Validé localement;Validé avec source;Refusé / non retenu;Obsolète</x:v>
      </x:c>
      <x:c r="C2" s="12" t="str">
        <x:v>Oui</x:v>
      </x:c>
      <x:c r="D2" s="12" t="str">
        <x:v>Seules les lignes validées devraient être visibles dans la version clinique</x:v>
      </x:c>
    </x:row>
    <x:row r="3" ht="18" customHeight="1">
      <x:c r="A3" s="12" t="str">
        <x:v>warning_level</x:v>
      </x:c>
      <x:c r="B3" s="12" t="str">
        <x:v>OK;Vigilance;Critique</x:v>
      </x:c>
      <x:c r="C3" s="12" t="str">
        <x:v>Oui</x:v>
      </x:c>
      <x:c r="D3" s="12" t="str">
        <x:v>Pilotage affichage et alertes</x:v>
      </x:c>
    </x:row>
    <x:row r="4" ht="18" customHeight="1">
      <x:c r="A4" s="12" t="str">
        <x:v>continuous_possible</x:v>
      </x:c>
      <x:c r="B4" s="12" t="str">
        <x:v>Oui;Non</x:v>
      </x:c>
      <x:c r="C4" s="12" t="str">
        <x:v>Oui</x:v>
      </x:c>
      <x:c r="D4" s="12" t="str"/>
    </x:row>
    <x:row r="5" ht="18" customHeight="1">
      <x:c r="A5" s="12" t="str">
        <x:v>discontinuous_possible</x:v>
      </x:c>
      <x:c r="B5" s="12" t="str">
        <x:v>Oui;Non</x:v>
      </x:c>
      <x:c r="C5" s="12" t="str">
        <x:v>Oui</x:v>
      </x:c>
      <x:c r="D5" s="12" t="str"/>
    </x:row>
    <x:row r="6" ht="18" customHeight="1">
      <x:c r="A6" s="12" t="str">
        <x:v>hydric_restriction_compatible</x:v>
      </x:c>
      <x:c r="B6" s="12" t="str">
        <x:v>Oui;Non;À éviter;À compléter</x:v>
      </x:c>
      <x:c r="C6" s="12" t="str">
        <x:v>Non</x:v>
      </x:c>
      <x:c r="D6" s="12" t="str">
        <x:v>Restriction hydrique</x:v>
      </x:c>
    </x:row>
    <x:row r="7" ht="18" customHeight="1">
      <x:c r="A7" s="12" t="str">
        <x:v>light_protection</x:v>
      </x:c>
      <x:c r="B7" s="12" t="str">
        <x:v>Oui;Non;À compléter</x:v>
      </x:c>
      <x:c r="C7" s="12" t="str">
        <x:v>Non</x:v>
      </x:c>
      <x:c r="D7" s="12" t="str">
        <x:v>Abri lumière</x:v>
      </x:c>
    </x:row>
    <x:row r="8" ht="18" customHeight="1">
      <x:c r="A8" s="12" t="str">
        <x:v>y_site_data_available</x:v>
      </x:c>
      <x:c r="B8" s="12" t="str">
        <x:v>Oui;Non;À compléter</x:v>
      </x:c>
      <x:c r="C8" s="12" t="str">
        <x:v>Non</x:v>
      </x:c>
      <x:c r="D8" s="12" t="str">
        <x:v>Compatibilités en Y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  <x:col min="10" max="10" width="28" hidden="0" customWidth="1"/>
    <x:col min="11" max="11" width="28" hidden="0" customWidth="1"/>
  </x:cols>
  <x:sheetData>
    <x:row r="1" ht="18" customHeight="1">
      <x:c r="A1" s="6" t="str">
        <x:v>molecule</x:v>
      </x:c>
      <x:c r="B1" s="6" t="str">
        <x:v>source</x:v>
      </x:c>
      <x:c r="C1" s="6" t="str">
        <x:v>mode</x:v>
      </x:c>
      <x:c r="D1" s="6" t="str">
        <x:v>poche</x:v>
      </x:c>
      <x:c r="E1" s="6" t="str">
        <x:v>pse</x:v>
      </x:c>
      <x:c r="F1" s="6" t="str">
        <x:v>elastomere</x:v>
      </x:c>
      <x:c r="G1" s="6" t="str">
        <x:v>anapa</x:v>
      </x:c>
      <x:c r="H1" s="6" t="str">
        <x:v>micrel</x:v>
      </x:c>
      <x:c r="I1" s="6" t="str">
        <x:v>reco</x:v>
      </x:c>
      <x:c r="J1" s="6" t="str">
        <x:v>note</x:v>
      </x:c>
      <x:c r="K1" s="6" t="str">
        <x:v>pubmed</x:v>
      </x:c>
    </x:row>
    <x:row r="2" ht="18" customHeight="1">
      <x:c r="A2" s="12" t="str">
        <x:v>Aciclovir</x:v>
      </x:c>
      <x:c r="B2" s="12" t="str">
        <x:v>Centre Léon Bérard – HAD + doc interne récent</x:v>
      </x:c>
      <x:c r="C2" s="12" t="str">
        <x:v>Discontinue recommandée ; perfusion ≥60 min ; continu non standard</x:v>
      </x:c>
      <x:c r="D2" s="12" t="str">
        <x:v>NaCl/G5 ; conc max 5 mg/mL ; stab 12 h RT</x:v>
      </x:c>
      <x:c r="E2" s="12" t="str">
        <x:v>--</x:v>
      </x:c>
      <x:c r="F2" s="12" t="str">
        <x:v>--</x:v>
      </x:c>
      <x:c r="G2" s="12" t="str">
        <x:v>--</x:v>
      </x:c>
      <x:c r="H2" s="12" t="str">
        <x:v>--</x:v>
      </x:c>
      <x:c r="I2" s="12" t="str">
        <x:v>Discontinue</x:v>
      </x:c>
      <x:c r="J2" s="12" t="str">
        <x:v>Perfusion lente recommandée ; vigilance rénale et extravasation.</x:v>
      </x:c>
      <x:c r="K2" s="12" t="str"/>
    </x:row>
    <x:row r="3" ht="18" customHeight="1">
      <x:c r="A3" s="12" t="str">
        <x:v>Aciclovir</x:v>
      </x:c>
      <x:c r="B3" s="12" t="str">
        <x:v>ANAPA – données internes du laboratoire</x:v>
      </x:c>
      <x:c r="C3" s="12" t="str">
        <x:v>Administration ambulatoire testée sur diffuseur non élastomère ANAPA</x:v>
      </x:c>
      <x:c r="D3" s="12" t="str">
        <x:v>--</x:v>
      </x:c>
      <x:c r="E3" s="12" t="str">
        <x:v>--</x:v>
      </x:c>
      <x:c r="F3" s="12" t="str">
        <x:v>--</x:v>
      </x:c>
      <x:c r="G3" s="12" t="str">
        <x:v>Soluté non précisé ; conc 10 mg/mL ; stab 3 j à 5°C ou 30°C + run-out 20 h ; 7 j RT + run-out</x:v>
      </x:c>
      <x:c r="H3" s="12" t="str">
        <x:v>--</x:v>
      </x:c>
      <x:c r="I3" s="12" t="str">
        <x:v>ANAPA possible selon conditions testées</x:v>
      </x:c>
      <x:c r="J3" s="12" t="str">
        <x:v>ANAPA est séparé des diffuseurs élastomères.</x:v>
      </x:c>
      <x:c r="K3" s="12" t="str"/>
    </x:row>
    <x:row r="4" ht="18" customHeight="1">
      <x:c r="A4" s="12" t="str">
        <x:v>Amikacine</x:v>
      </x:c>
      <x:c r="B4" s="12" t="str">
        <x:v>CH de Tourcoing 2017 + doc interne récent</x:v>
      </x:c>
      <x:c r="C4" s="12" t="str">
        <x:v>Discontinue recommandée ; perfusion 30 min ; continu non recommandé</x:v>
      </x:c>
      <x:c r="D4" s="12" t="str">
        <x:v>NaCl/G5 ; conc max 20 mg/mL ; stab 24 h RT</x:v>
      </x:c>
      <x:c r="E4" s="12" t="str">
        <x:v>Pas de PSE continu ; IVSE intermittent uniquement</x:v>
      </x:c>
      <x:c r="F4" s="12" t="str">
        <x:v>--</x:v>
      </x:c>
      <x:c r="G4" s="12" t="str">
        <x:v>--</x:v>
      </x:c>
      <x:c r="H4" s="12" t="str">
        <x:v>--</x:v>
      </x:c>
      <x:c r="I4" s="12" t="str">
        <x:v>Discontinue</x:v>
      </x:c>
      <x:c r="J4" s="12" t="str">
        <x:v>Aminoside : administration discontinue avec suivi pharmacologique.</x:v>
      </x:c>
      <x:c r="K4" s="12" t="str"/>
    </x:row>
    <x:row r="5" ht="18" customHeight="1">
      <x:c r="A5" s="12" t="str">
        <x:v>Amikacine</x:v>
      </x:c>
      <x:c r="B5" s="12" t="str">
        <x:v>ANAPA – données internes du laboratoire</x:v>
      </x:c>
      <x:c r="C5" s="12" t="str">
        <x:v>Administration ambulatoire testée sur diffuseur non élastomère ANAPA</x:v>
      </x:c>
      <x:c r="D5" s="12" t="str">
        <x:v>--</x:v>
      </x:c>
      <x:c r="E5" s="12" t="str">
        <x:v>--</x:v>
      </x:c>
      <x:c r="F5" s="12" t="str">
        <x:v>--</x:v>
      </x:c>
      <x:c r="G5" s="12" t="str">
        <x:v>Soluté non précisé ; conc 5 mg/mL ; stab 72 h à 30°C + run-out 20 h ; 72 h à 5°C + run-out ; 7 j RT + run-out</x:v>
      </x:c>
      <x:c r="H5" s="12" t="str">
        <x:v>--</x:v>
      </x:c>
      <x:c r="I5" s="12" t="str">
        <x:v>ANAPA possible selon conditions testées</x:v>
      </x:c>
      <x:c r="J5" s="12" t="str">
        <x:v>Stabilité physicochimique ≠ recommandation clinique de continu.</x:v>
      </x:c>
      <x:c r="K5" s="12" t="str"/>
    </x:row>
    <x:row r="6" ht="18" customHeight="1">
      <x:c r="A6" s="12" t="str">
        <x:v>Amikacine</x:v>
      </x:c>
      <x:c r="B6" s="12" t="str">
        <x:v>Micrel – données internes du laboratoire</x:v>
      </x:c>
      <x:c r="C6" s="12" t="str">
        <x:v>Pompe Rythmic PVC</x:v>
      </x:c>
      <x:c r="D6" s="12" t="str">
        <x:v>--</x:v>
      </x:c>
      <x:c r="E6" s="12" t="str">
        <x:v>--</x:v>
      </x:c>
      <x:c r="F6" s="12" t="str">
        <x:v>--</x:v>
      </x:c>
      <x:c r="G6" s="12" t="str">
        <x:v>--</x:v>
      </x:c>
      <x:c r="H6" s="12" t="str">
        <x:v>NaCl 0,9 % ; conc 0,25–20 mg/mL ; stab FT 28 j ; RT 48 h</x:v>
      </x:c>
      <x:c r="I6" s="12" t="str">
        <x:v>Donnée contenant Micrel uniquement</x:v>
      </x:c>
      <x:c r="J6" s="12" t="str">
        <x:v>Ne pas extrapoler hors consommables Rythmic compatibles.</x:v>
      </x:c>
      <x:c r="K6" s="12" t="str"/>
    </x:row>
    <x:row r="7" ht="18" customHeight="1">
      <x:c r="A7" s="12" t="str">
        <x:v>Amoxicilline</x:v>
      </x:c>
      <x:c r="B7" s="12" t="str">
        <x:v>SPILF/SFPC 2025</x:v>
      </x:c>
      <x:c r="C7" s="12" t="str">
        <x:v>Continu possible mais fractionné</x:v>
      </x:c>
      <x:c r="D7" s="12" t="str">
        <x:v>NaCl 0,9 % ; conc 5 mg/mL ; stab 24 h / NaCl 0,9 % ; conc 20 mg/mL ; stab 12 h / G5 ; conc 10 mg/mL ; stab 2 h / G5 ; conc 50 mg/mL ; stab 1 h ; G5 déconseillé en prolongé</x:v>
      </x:c>
      <x:c r="E7" s="12" t="str">
        <x:v>NaCl 0,9 % ; conc max 20 mg/mL ; PSE 24 h non retenu ; préférer pompe/fractionnement 12 h</x:v>
      </x:c>
      <x:c r="F7" s="12" t="str">
        <x:v>--</x:v>
      </x:c>
      <x:c r="G7" s="12" t="str">
        <x:v>--</x:v>
      </x:c>
      <x:c r="H7" s="12" t="str">
        <x:v>--</x:v>
      </x:c>
      <x:c r="I7" s="12" t="str">
        <x:v>Continu fractionné</x:v>
      </x:c>
      <x:c r="J7" s="12" t="str">
        <x:v>Forte dépendance à la concentration et au solvant.</x:v>
      </x:c>
      <x:c r="K7" s="12" t="str"/>
    </x:row>
    <x:row r="8" ht="18" customHeight="1">
      <x:c r="A8" s="12" t="str">
        <x:v>Amoxicilline</x:v>
      </x:c>
      <x:c r="B8" s="12" t="str">
        <x:v>ANAPA – données internes du laboratoire</x:v>
      </x:c>
      <x:c r="C8" s="12" t="str">
        <x:v>Administration ambulatoire testée sur diffuseur non élastomère ANAPA</x:v>
      </x:c>
      <x:c r="D8" s="12" t="str">
        <x:v>--</x:v>
      </x:c>
      <x:c r="E8" s="12" t="str">
        <x:v>--</x:v>
      </x:c>
      <x:c r="F8" s="12" t="str">
        <x:v>--</x:v>
      </x:c>
      <x:c r="G8" s="12" t="str">
        <x:v>NaCl 0,9 % ; conc 25 mg/mL ; stab 12 h</x:v>
      </x:c>
      <x:c r="H8" s="12" t="str">
        <x:v>--</x:v>
      </x:c>
      <x:c r="I8" s="12" t="str">
        <x:v>ANAPA possible selon protocole</x:v>
      </x:c>
      <x:c r="J8" s="12" t="str">
        <x:v>Donnée issue des études de stabilité ANAPA.</x:v>
      </x:c>
      <x:c r="K8" s="12" t="str"/>
    </x:row>
    <x:row r="9" ht="18" customHeight="1">
      <x:c r="A9" s="12" t="str">
        <x:v>Amoxicilline</x:v>
      </x:c>
      <x:c r="B9" s="12" t="str">
        <x:v>Micrel – données internes du laboratoire</x:v>
      </x:c>
      <x:c r="C9" s="12" t="str">
        <x:v>Pompe Rythmic PVC ; donnée spécifique solutés de dialyse péritonéale</x:v>
      </x:c>
      <x:c r="D9" s="12" t="str">
        <x:v>--</x:v>
      </x:c>
      <x:c r="E9" s="12" t="str">
        <x:v>--</x:v>
      </x:c>
      <x:c r="F9" s="12" t="str">
        <x:v>--</x:v>
      </x:c>
      <x:c r="G9" s="12" t="str">
        <x:v>--</x:v>
      </x:c>
      <x:c r="H9" s="12" t="str">
        <x:v>Extraneal®/Dianéal® ; conc 0,125 mg/mL ; stab 48 h à 25°C, 24 h à 37°C, 14 j à 4°C selon soluté ; non directement transposable à l’IV standard</x:v>
      </x:c>
      <x:c r="I9" s="12" t="str">
        <x:v>Donnée Micrel non transposable IV standard</x:v>
      </x:c>
      <x:c r="J9" s="12" t="str">
        <x:v>À ne pas assimiler aux données d’amoxicilline IV en NaCl 0,9 % pour perfusion continue.</x:v>
      </x:c>
      <x:c r="K9" s="12" t="str"/>
    </x:row>
    <x:row r="10" ht="18" customHeight="1">
      <x:c r="A10" s="12" t="str">
        <x:v>Amoxicilline/acide clavulanique</x:v>
      </x:c>
      <x:c r="B10" s="12" t="str">
        <x:v>SPILF/SFPC 2025 + CH de Tourcoing 2017 + Centre Léon Bérard – HAD</x:v>
      </x:c>
      <x:c r="C10" s="12" t="str">
        <x:v>Continu non recommandé ; discontinue 30–60 min</x:v>
      </x:c>
      <x:c r="D10" s="12" t="str">
        <x:v>NaCl 0,9 % exclusivement ; conc max 20 mg/mL ; stab max 60 min après reconstitution/fin administration ; G5 contre-indiqué/incompatible</x:v>
      </x:c>
      <x:c r="E10" s="12" t="str">
        <x:v>PSE continu non recommandé</x:v>
      </x:c>
      <x:c r="F10" s="12" t="str">
        <x:v>--</x:v>
      </x:c>
      <x:c r="G10" s="12" t="str">
        <x:v>--</x:v>
      </x:c>
      <x:c r="H10" s="12" t="str">
        <x:v>--</x:v>
      </x:c>
      <x:c r="I10" s="12" t="str">
        <x:v>Discontinue uniquement</x:v>
      </x:c>
      <x:c r="J10" s="12" t="str">
        <x:v>À exclure des stratégies continues prolongées.</x:v>
      </x:c>
      <x:c r="K10" s="12" t="str"/>
    </x:row>
    <x:row r="11" ht="18" customHeight="1">
      <x:c r="A11" s="12" t="str">
        <x:v>Aztréonam</x:v>
      </x:c>
      <x:c r="B11" s="12" t="str">
        <x:v>SPILF/SFPC 2025</x:v>
      </x:c>
      <x:c r="C11" s="12" t="str">
        <x:v>Continu possible ; prolongée possible</x:v>
      </x:c>
      <x:c r="D11" s="12" t="str">
        <x:v>NaCl 0,9 % ou G5 ; conc 10–125 mg/mL ; stab &gt;24 h</x:v>
      </x:c>
      <x:c r="E11" s="12" t="str">
        <x:v>NaCl 0,9 % ; conc max 125 mg/mL ; stab compatible pour prolongée ; ex 2 g/48 mL sur 3–4 h</x:v>
      </x:c>
      <x:c r="F11" s="12" t="str">
        <x:v>--</x:v>
      </x:c>
      <x:c r="G11" s="12" t="str">
        <x:v>--</x:v>
      </x:c>
      <x:c r="H11" s="12" t="str">
        <x:v>--</x:v>
      </x:c>
      <x:c r="I11" s="12" t="str">
        <x:v>Continu/prolongé possible</x:v>
      </x:c>
      <x:c r="J11" s="12" t="str">
        <x:v>Bon candidat à l’administration prolongée.</x:v>
      </x:c>
      <x:c r="K11" s="12" t="str"/>
    </x:row>
    <x:row r="12" ht="18" customHeight="1">
      <x:c r="A12" s="12" t="str">
        <x:v>Aztréonam</x:v>
      </x:c>
      <x:c r="B12" s="12" t="str">
        <x:v>Micrel – données internes du laboratoire</x:v>
      </x:c>
      <x:c r="C12" s="12" t="str">
        <x:v>Pompe Rythmic PVC</x:v>
      </x:c>
      <x:c r="D12" s="12" t="str">
        <x:v>--</x:v>
      </x:c>
      <x:c r="E12" s="12" t="str">
        <x:v>--</x:v>
      </x:c>
      <x:c r="F12" s="12" t="str">
        <x:v>--</x:v>
      </x:c>
      <x:c r="G12" s="12" t="str">
        <x:v>--</x:v>
      </x:c>
      <x:c r="H12" s="12" t="str">
        <x:v>NaCl 0,9 % ; conc 5–60 mg/mL ; stab FT 28 j ; RT 24 h</x:v>
      </x:c>
      <x:c r="I12" s="12" t="str">
        <x:v>Micrel possible</x:v>
      </x:c>
      <x:c r="J12" s="12" t="str">
        <x:v>Donnée spécifique contenant.</x:v>
      </x:c>
      <x:c r="K12" s="12" t="str"/>
    </x:row>
    <x:row r="13" ht="18" customHeight="1">
      <x:c r="A13" s="12" t="str">
        <x:v>Ceftazidime</x:v>
      </x:c>
      <x:c r="B13" s="12" t="str">
        <x:v>SPILF/SFPC 2025</x:v>
      </x:c>
      <x:c r="C13" s="12" t="str">
        <x:v>Continu possible</x:v>
      </x:c>
      <x:c r="D13" s="12" t="str">
        <x:v>NaCl 0,9 % ; conc 20–125 mg/mL ; stab 24 h / G5 ; conc 125 mg/mL ; stab 8 h</x:v>
      </x:c>
      <x:c r="E13" s="12" t="str">
        <x:v>NaCl 0,9 % ; conc max 125 mg/mL ; stab 12–24 h selon schéma</x:v>
      </x:c>
      <x:c r="F13" s="12" t="str">
        <x:v>--</x:v>
      </x:c>
      <x:c r="G13" s="12" t="str">
        <x:v>--</x:v>
      </x:c>
      <x:c r="H13" s="12" t="str">
        <x:v>--</x:v>
      </x:c>
      <x:c r="I13" s="12" t="str">
        <x:v>Continu possible avec vigilance</x:v>
      </x:c>
      <x:c r="J13" s="12" t="str">
        <x:v>Vigilance température et concentration.</x:v>
      </x:c>
      <x:c r="K13" s="12" t="str"/>
    </x:row>
    <x:row r="14" ht="18" customHeight="1">
      <x:c r="A14" s="12" t="str">
        <x:v>Ceftazidime</x:v>
      </x:c>
      <x:c r="B14" s="12" t="str">
        <x:v>CH de Tourcoing 2017</x:v>
      </x:c>
      <x:c r="C14" s="12" t="str">
        <x:v>Continu fractionné recommandé</x:v>
      </x:c>
      <x:c r="D14" s="12" t="str">
        <x:v>NaCl 0,9 % ou G5 ; conc max 80 mg/mL ; stab 8 h RT</x:v>
      </x:c>
      <x:c r="E14" s="12" t="str">
        <x:v>NaCl 0,9 % ou G5 ; conc max 80 mg/mL ; stab 6–8 h</x:v>
      </x:c>
      <x:c r="F14" s="12" t="str">
        <x:v>--</x:v>
      </x:c>
      <x:c r="G14" s="12" t="str">
        <x:v>--</x:v>
      </x:c>
      <x:c r="H14" s="12" t="str">
        <x:v>--</x:v>
      </x:c>
      <x:c r="I14" s="12" t="str">
        <x:v>Fractionnement 6–8 h</x:v>
      </x:c>
      <x:c r="J14" s="12" t="str">
        <x:v>Source plus restrictive que SPILF.</x:v>
      </x:c>
      <x:c r="K14" s="12" t="str"/>
    </x:row>
    <x:row r="15" ht="18" customHeight="1">
      <x:c r="A15" s="12" t="str">
        <x:v>Ceftazidime</x:v>
      </x:c>
      <x:c r="B15" s="12" t="str">
        <x:v>ANAPA – données internes du laboratoire</x:v>
      </x:c>
      <x:c r="C15" s="12" t="str">
        <x:v>Administration ambulatoire testée sur diffuseur non élastomère ANAPA</x:v>
      </x:c>
      <x:c r="D15" s="12" t="str">
        <x:v>--</x:v>
      </x:c>
      <x:c r="E15" s="12" t="str">
        <x:v>--</x:v>
      </x:c>
      <x:c r="F15" s="12" t="str">
        <x:v>--</x:v>
      </x:c>
      <x:c r="G15" s="12" t="str">
        <x:v>NaCl 0,9 % ; conc 20 mg/mL ; stab 24 h RT + run-out 20 h</x:v>
      </x:c>
      <x:c r="H15" s="12" t="str">
        <x:v>--</x:v>
      </x:c>
      <x:c r="I15" s="12" t="str">
        <x:v>ANAPA possible selon conditions testées</x:v>
      </x:c>
      <x:c r="J15" s="12" t="str">
        <x:v>Attention &gt;25°C et produits de dégradation.</x:v>
      </x:c>
      <x:c r="K15" s="12" t="str"/>
    </x:row>
    <x:row r="16" ht="18" customHeight="1">
      <x:c r="A16" s="12" t="str">
        <x:v>Ceftazidime</x:v>
      </x:c>
      <x:c r="B16" s="12" t="str">
        <x:v>Micrel – données internes du laboratoire</x:v>
      </x:c>
      <x:c r="C16" s="12" t="str">
        <x:v>Pompe Rythmic PVC</x:v>
      </x:c>
      <x:c r="D16" s="12" t="str">
        <x:v>--</x:v>
      </x:c>
      <x:c r="E16" s="12" t="str">
        <x:v>--</x:v>
      </x:c>
      <x:c r="F16" s="12" t="str">
        <x:v>--</x:v>
      </x:c>
      <x:c r="G16" s="12" t="str">
        <x:v>--</x:v>
      </x:c>
      <x:c r="H16" s="12" t="str">
        <x:v>NaCl 0,9 % ; conc 5–40 mg/mL ; stab FT 10 j ; RT 24 h ; Fortum 4 mg/mL 25°C lumière 24 h ; 40 mg/mL 4°C abri lumière 7 j</x:v>
      </x:c>
      <x:c r="I16" s="12" t="str">
        <x:v>Micrel possible selon conditions</x:v>
      </x:c>
      <x:c r="J16" s="12" t="str">
        <x:v>Donnée spécifique consommables Micrel.</x:v>
      </x:c>
      <x:c r="K16" s="12" t="str"/>
    </x:row>
    <x:row r="17" ht="18" customHeight="1">
      <x:c r="A17" s="12" t="str">
        <x:v>Ceftazidime</x:v>
      </x:c>
      <x:c r="B17" s="12" t="str">
        <x:v>PubMed – littérature sélectionnée</x:v>
      </x:c>
      <x:c r="C17" s="12" t="str">
        <x:v>Perfusion continue ambulatoire ; diffuseur élastomère</x:v>
      </x:c>
      <x:c r="D17" s="12" t="str">
        <x:v>--</x:v>
      </x:c>
      <x:c r="E17" s="12" t="str">
        <x:v>Seringue PP ; données compatibles 12–24 h selon concentration/température</x:v>
      </x:c>
      <x:c r="F17" s="12" t="str">
        <x:v>NaCl 0,9 % ; diffuseur élastomère ; conc 25–120 mg/mL ; stabilité très dépendante température ; plusieurs études limitent le 24 h &gt;25°C</x:v>
      </x:c>
      <x:c r="G17" s="12" t="str">
        <x:v>--</x:v>
      </x:c>
      <x:c r="H17" s="12" t="str">
        <x:v>--</x:v>
      </x:c>
      <x:c r="I17" s="12" t="str">
        <x:v>Perfusion continue possible avec vigilance thermique</x:v>
      </x:c>
      <x:c r="J17" s="12" t="str">
        <x:v>Ne pas extrapoler les données élastomère aux poches classiques ni à ANAPA.</x:v>
      </x:c>
      <x:c r="K17" s="12" t="str">
        <x:v>https://pubmed.ncbi.nlm.nih.gov/22478981/</x:v>
      </x:c>
    </x:row>
    <x:row r="18" ht="18" customHeight="1">
      <x:c r="A18" s="12" t="str">
        <x:v>Céfépime</x:v>
      </x:c>
      <x:c r="B18" s="12" t="str">
        <x:v>SPILF/SFPC 2025</x:v>
      </x:c>
      <x:c r="C18" s="12" t="str">
        <x:v>Continu possible ; prolongée possible</x:v>
      </x:c>
      <x:c r="D18" s="12" t="str">
        <x:v>NaCl 0,9 % ou G5 ; conc 2,5–125 mg/mL ; stab 24 h</x:v>
      </x:c>
      <x:c r="E18" s="12" t="str">
        <x:v>NaCl 0,9 % ; conc max 125 mg/mL ; stab 24 h possible ; ex 4–6 g/48 mL/24 h</x:v>
      </x:c>
      <x:c r="F18" s="12" t="str">
        <x:v>--</x:v>
      </x:c>
      <x:c r="G18" s="12" t="str">
        <x:v>--</x:v>
      </x:c>
      <x:c r="H18" s="12" t="str">
        <x:v>--</x:v>
      </x:c>
      <x:c r="I18" s="12" t="str">
        <x:v>Continu/prolongé possible</x:v>
      </x:c>
      <x:c r="J18" s="12" t="str">
        <x:v>Comparer avec protocoles locaux si fractionnement plus court.</x:v>
      </x:c>
      <x:c r="K18" s="12" t="str"/>
    </x:row>
    <x:row r="19" ht="18" customHeight="1">
      <x:c r="A19" s="12" t="str">
        <x:v>Céfépime</x:v>
      </x:c>
      <x:c r="B19" s="12" t="str">
        <x:v>Micrel – données internes du laboratoire</x:v>
      </x:c>
      <x:c r="C19" s="12" t="str">
        <x:v>Pompe Rythmic PVC</x:v>
      </x:c>
      <x:c r="D19" s="12" t="str">
        <x:v>--</x:v>
      </x:c>
      <x:c r="E19" s="12" t="str">
        <x:v>--</x:v>
      </x:c>
      <x:c r="F19" s="12" t="str">
        <x:v>--</x:v>
      </x:c>
      <x:c r="G19" s="12" t="str">
        <x:v>--</x:v>
      </x:c>
      <x:c r="H19" s="12" t="str">
        <x:v>NaCl 0,9 % ; conc 5–60 mg/mL ; stab FT 7 j ; RT 24 h</x:v>
      </x:c>
      <x:c r="I19" s="12" t="str">
        <x:v>Micrel possible</x:v>
      </x:c>
      <x:c r="J19" s="12" t="str">
        <x:v>Donnée spécifique contenant.</x:v>
      </x:c>
      <x:c r="K19" s="12" t="str"/>
    </x:row>
    <x:row r="20" ht="18" customHeight="1">
      <x:c r="A20" s="12" t="str">
        <x:v>Céfazoline</x:v>
      </x:c>
      <x:c r="B20" s="12" t="str">
        <x:v>SPILF/SFPC 2025</x:v>
      </x:c>
      <x:c r="C20" s="12" t="str">
        <x:v>Continu possible</x:v>
      </x:c>
      <x:c r="D20" s="12" t="str">
        <x:v>NaCl 0,9 % ; conc max 125 mg/mL ; stab &gt;24 h / G5 ; conc 125 mg/mL ; stab 24 h</x:v>
      </x:c>
      <x:c r="E20" s="12" t="str">
        <x:v>NaCl 0,9 % ; conc max 125 mg/mL ; stab 24 h possible ; ex 6 g/48 mL/24 h ou 4 g/48 mL/12 h x2</x:v>
      </x:c>
      <x:c r="F20" s="12" t="str">
        <x:v>--</x:v>
      </x:c>
      <x:c r="G20" s="12" t="str">
        <x:v>--</x:v>
      </x:c>
      <x:c r="H20" s="12" t="str">
        <x:v>--</x:v>
      </x:c>
      <x:c r="I20" s="12" t="str">
        <x:v>Continu possible</x:v>
      </x:c>
      <x:c r="J20" s="12" t="str">
        <x:v>Molécule favorable aux stratégies prolongées/continues.</x:v>
      </x:c>
      <x:c r="K20" s="12" t="str"/>
    </x:row>
    <x:row r="21" ht="18" customHeight="1">
      <x:c r="A21" s="12" t="str">
        <x:v>Céfotaxime</x:v>
      </x:c>
      <x:c r="B21" s="12" t="str">
        <x:v>SPILF/SFPC 2025</x:v>
      </x:c>
      <x:c r="C21" s="12" t="str">
        <x:v>Continu possible ; stabilité concentration-dépendante</x:v>
      </x:c>
      <x:c r="D21" s="12" t="str">
        <x:v>NaCl 0,9 % ; conc 10–50 mg/mL ; stab 24 h / G5 ; conc 10–20 mg/mL ; stab 24 h / NaCl 0,9 % ou G5 ; conc 83,3–125 mg/mL ; stab 6 h</x:v>
      </x:c>
      <x:c r="E21" s="12" t="str">
        <x:v>NaCl 0,9 % ; conc max pratique 50 mg/mL ; PSE fractionné</x:v>
      </x:c>
      <x:c r="F21" s="12" t="str">
        <x:v>--</x:v>
      </x:c>
      <x:c r="G21" s="12" t="str">
        <x:v>--</x:v>
      </x:c>
      <x:c r="H21" s="12" t="str">
        <x:v>--</x:v>
      </x:c>
      <x:c r="I21" s="12" t="str">
        <x:v>Continu possible si concentration adaptée</x:v>
      </x:c>
      <x:c r="J21" s="12" t="str">
        <x:v>Éviter extrapolation aux fortes concentrations.</x:v>
      </x:c>
      <x:c r="K21" s="12" t="str"/>
    </x:row>
    <x:row r="22" ht="18" customHeight="1">
      <x:c r="A22" s="12" t="str">
        <x:v>Ceftriaxone</x:v>
      </x:c>
      <x:c r="B22" s="12" t="str">
        <x:v>SPILF/SFPC 2025</x:v>
      </x:c>
      <x:c r="C22" s="12" t="str">
        <x:v>Continu possible mais intermittent fréquent</x:v>
      </x:c>
      <x:c r="D22" s="12" t="str">
        <x:v>NaCl 0,9 % ou G5 ; conc 20–40 mg/mL ; stab 24 h</x:v>
      </x:c>
      <x:c r="E22" s="12" t="str">
        <x:v>NaCl 0,9 % ou G5 ; conc max 40 mg/mL ; PSE possible</x:v>
      </x:c>
      <x:c r="F22" s="12" t="str">
        <x:v>--</x:v>
      </x:c>
      <x:c r="G22" s="12" t="str">
        <x:v>--</x:v>
      </x:c>
      <x:c r="H22" s="12" t="str">
        <x:v>--</x:v>
      </x:c>
      <x:c r="I22" s="12" t="str">
        <x:v>Intermittent souvent suffisant</x:v>
      </x:c>
      <x:c r="J22" s="12" t="str">
        <x:v>Attention incompatibilité calcium.</x:v>
      </x:c>
      <x:c r="K22" s="12" t="str"/>
    </x:row>
    <x:row r="23" ht="18" customHeight="1">
      <x:c r="A23" s="12" t="str">
        <x:v>Ceftriaxone</x:v>
      </x:c>
      <x:c r="B23" s="12" t="str">
        <x:v>Micrel – données internes du laboratoire</x:v>
      </x:c>
      <x:c r="C23" s="12" t="str">
        <x:v>Pompe Rythmic PVC</x:v>
      </x:c>
      <x:c r="D23" s="12" t="str">
        <x:v>--</x:v>
      </x:c>
      <x:c r="E23" s="12" t="str">
        <x:v>--</x:v>
      </x:c>
      <x:c r="F23" s="12" t="str">
        <x:v>--</x:v>
      </x:c>
      <x:c r="G23" s="12" t="str">
        <x:v>--</x:v>
      </x:c>
      <x:c r="H23" s="12" t="str">
        <x:v>NaCl 0,9 % ; conc 40 mg/mL ; stab 3 j à 23°C, 30 j à 4°C abri lumière / G5 ; conc 40 mg/mL ; stab 1 j à 23°C, 14 j à 4°C / G5 ; conc 2 mg/mL ; stab 14 j</x:v>
      </x:c>
      <x:c r="I23" s="12" t="str">
        <x:v>Micrel possible selon conditions</x:v>
      </x:c>
      <x:c r="J23" s="12" t="str">
        <x:v>Soluté et concentration modifient fortement la stabilité.</x:v>
      </x:c>
      <x:c r="K23" s="12" t="str"/>
    </x:row>
    <x:row r="24" ht="18" customHeight="1">
      <x:c r="A24" s="12" t="str">
        <x:v>Clindamycine</x:v>
      </x:c>
      <x:c r="B24" s="12" t="str">
        <x:v>CH de Tourcoing 2017 + doc interne récent</x:v>
      </x:c>
      <x:c r="C24" s="12" t="str">
        <x:v>Continu 24 h possible</x:v>
      </x:c>
      <x:c r="D24" s="12" t="str">
        <x:v>NaCl 0,9 % ± G5 selon source ; conc max 75 mg/mL ; stab 24 h RT</x:v>
      </x:c>
      <x:c r="E24" s="12" t="str">
        <x:v>NaCl 0,9 % ; conc max 75 mg/mL ; stab 24 h ; 600 mg à 3,6 g/48 mL</x:v>
      </x:c>
      <x:c r="F24" s="12" t="str">
        <x:v>--</x:v>
      </x:c>
      <x:c r="G24" s="12" t="str">
        <x:v>--</x:v>
      </x:c>
      <x:c r="H24" s="12" t="str">
        <x:v>--</x:v>
      </x:c>
      <x:c r="I24" s="12" t="str">
        <x:v>Continu possible</x:v>
      </x:c>
      <x:c r="J24" s="12" t="str">
        <x:v>Données favorables au PSE/pompe 24 h.</x:v>
      </x:c>
      <x:c r="K24" s="12" t="str"/>
    </x:row>
    <x:row r="25" ht="18" customHeight="1">
      <x:c r="A25" s="12" t="str">
        <x:v>Daptomycine</x:v>
      </x:c>
      <x:c r="B25" s="12" t="str">
        <x:v>CH de Tourcoing 2017 + doc interne récent</x:v>
      </x:c>
      <x:c r="C25" s="12" t="str">
        <x:v>Discontinue recommandée ; perfusion 30–60 min ; IVD possible selon source</x:v>
      </x:c>
      <x:c r="D25" s="12" t="str">
        <x:v>NaCl 0,9 % exclusivement ; conc max 50 mg/mL ; stab 12 h RT ; G5 incompatible</x:v>
      </x:c>
      <x:c r="E25" s="12" t="str">
        <x:v>--</x:v>
      </x:c>
      <x:c r="F25" s="12" t="str">
        <x:v>--</x:v>
      </x:c>
      <x:c r="G25" s="12" t="str">
        <x:v>--</x:v>
      </x:c>
      <x:c r="H25" s="12" t="str">
        <x:v>--</x:v>
      </x:c>
      <x:c r="I25" s="12" t="str">
        <x:v>Discontinue</x:v>
      </x:c>
      <x:c r="J25" s="12" t="str">
        <x:v>NaCl exclusivement.</x:v>
      </x:c>
      <x:c r="K25" s="12" t="str"/>
    </x:row>
    <x:row r="26" ht="18" customHeight="1">
      <x:c r="A26" s="12" t="str">
        <x:v>Ertapénem</x:v>
      </x:c>
      <x:c r="B26" s="12" t="str">
        <x:v>CH de Tourcoing 2017 + doc interne récent</x:v>
      </x:c>
      <x:c r="C26" s="12" t="str">
        <x:v>Discontinue recommandée ; perfusion 30 min ; prolongée non standard</x:v>
      </x:c>
      <x:c r="D26" s="12" t="str">
        <x:v>NaCl 0,9 % exclusivement ; conc max 20 mg/mL ; stab 6 h RT ; G5 incompatible</x:v>
      </x:c>
      <x:c r="E26" s="12" t="str">
        <x:v>--</x:v>
      </x:c>
      <x:c r="F26" s="12" t="str">
        <x:v>--</x:v>
      </x:c>
      <x:c r="G26" s="12" t="str">
        <x:v>--</x:v>
      </x:c>
      <x:c r="H26" s="12" t="str">
        <x:v>--</x:v>
      </x:c>
      <x:c r="I26" s="12" t="str">
        <x:v>Discontinue</x:v>
      </x:c>
      <x:c r="J26" s="12" t="str">
        <x:v>Molécule pratique en OPAT intermittent.</x:v>
      </x:c>
      <x:c r="K26" s="12" t="str"/>
    </x:row>
    <x:row r="27" ht="18" customHeight="1">
      <x:c r="A27" s="12" t="str">
        <x:v>Méropénem</x:v>
      </x:c>
      <x:c r="B27" s="12" t="str">
        <x:v>CH de Tourcoing 2017 + doc interne récent</x:v>
      </x:c>
      <x:c r="C27" s="12" t="str">
        <x:v>Fractionnement 6–8 h recommandé</x:v>
      </x:c>
      <x:c r="D27" s="12" t="str">
        <x:v>NaCl 0,9 %/G5 selon source ; conc max 40 mg/mL ; stab 6–8 h RT</x:v>
      </x:c>
      <x:c r="E27" s="12" t="str">
        <x:v>NaCl 0,9 % ; conc max 40 mg/mL ; stab 6–8 h ; IVSE 8 h x3/j</x:v>
      </x:c>
      <x:c r="F27" s="12" t="str">
        <x:v>--</x:v>
      </x:c>
      <x:c r="G27" s="12" t="str">
        <x:v>--</x:v>
      </x:c>
      <x:c r="H27" s="12" t="str">
        <x:v>--</x:v>
      </x:c>
      <x:c r="I27" s="12" t="str">
        <x:v>Fractionnement court</x:v>
      </x:c>
      <x:c r="J27" s="12" t="str">
        <x:v>Stabilité courte à température ambiante.</x:v>
      </x:c>
      <x:c r="K27" s="12" t="str"/>
    </x:row>
    <x:row r="28" ht="18" customHeight="1">
      <x:c r="A28" s="12" t="str">
        <x:v>Méropénem</x:v>
      </x:c>
      <x:c r="B28" s="12" t="str">
        <x:v>Micrel – données internes du laboratoire</x:v>
      </x:c>
      <x:c r="C28" s="12" t="str">
        <x:v>Pompe Rythmic PVC</x:v>
      </x:c>
      <x:c r="D28" s="12" t="str">
        <x:v>--</x:v>
      </x:c>
      <x:c r="E28" s="12" t="str">
        <x:v>--</x:v>
      </x:c>
      <x:c r="F28" s="12" t="str">
        <x:v>--</x:v>
      </x:c>
      <x:c r="G28" s="12" t="str">
        <x:v>--</x:v>
      </x:c>
      <x:c r="H28" s="12" t="str">
        <x:v>NaCl 0,9 % ; conc 5–40 mg/mL ; stab FT 18 h ; RT 6 h</x:v>
      </x:c>
      <x:c r="I28" s="12" t="str">
        <x:v>Changement fréquent</x:v>
      </x:c>
      <x:c r="J28" s="12" t="str">
        <x:v>Pas de 24 h à RT.</x:v>
      </x:c>
      <x:c r="K28" s="12" t="str"/>
    </x:row>
    <x:row r="29" ht="18" customHeight="1">
      <x:c r="A29" s="12" t="str">
        <x:v>Méropénem</x:v>
      </x:c>
      <x:c r="B29" s="12" t="str">
        <x:v>PubMed – littérature sélectionnée</x:v>
      </x:c>
      <x:c r="C29" s="12" t="str">
        <x:v>Perfusion continue/prolongée ; OPAT ; diffuseur élastomère</x:v>
      </x:c>
      <x:c r="D29" s="12" t="str">
        <x:v>--</x:v>
      </x:c>
      <x:c r="E29" s="12" t="str">
        <x:v>Seringue PP ; fractionnement 6–8 h fréquemment recommandé</x:v>
      </x:c>
      <x:c r="F29" s="12" t="str">
        <x:v>NaCl 0,9 % ; diffuseur élastomère ; conc 6,25–25 mg/mL ; stabilité souvent &lt;12 h à température ambiante</x:v>
      </x:c>
      <x:c r="G29" s="12" t="str">
        <x:v>--</x:v>
      </x:c>
      <x:c r="H29" s="12" t="str">
        <x:v>--</x:v>
      </x:c>
      <x:c r="I29" s="12" t="str">
        <x:v>Éviter extrapolation 24 h sans contrôle thermique</x:v>
      </x:c>
      <x:c r="J29" s="12" t="str">
        <x:v>Ne pas extrapoler élastomère vers poche, ANAPA ou Micrel.</x:v>
      </x:c>
      <x:c r="K29" s="12" t="str">
        <x:v>https://pubmed.ncbi.nlm.nih.gov/31447546/</x:v>
      </x:c>
    </x:row>
    <x:row r="30" ht="18" customHeight="1">
      <x:c r="A30" s="12" t="str">
        <x:v>Pipéracilline/tazobactam</x:v>
      </x:c>
      <x:c r="B30" s="12" t="str">
        <x:v>SPILF/SFPC 2025 + doc interne récent</x:v>
      </x:c>
      <x:c r="C30" s="12" t="str">
        <x:v>Continu 24 h possible ; prolongée possible</x:v>
      </x:c>
      <x:c r="D30" s="12" t="str">
        <x:v>NaCl 0,9 %/G5 ; conc max 80–200 mg/mL exprimé pipéracilline selon source ; stab 24 h RT</x:v>
      </x:c>
      <x:c r="E30" s="12" t="str">
        <x:v>NaCl 0,9 %/G5 ; conc max 80–200 mg/mL ; stab 12–24 h selon schéma</x:v>
      </x:c>
      <x:c r="F30" s="12" t="str">
        <x:v>--</x:v>
      </x:c>
      <x:c r="G30" s="12" t="str">
        <x:v>--</x:v>
      </x:c>
      <x:c r="H30" s="12" t="str">
        <x:v>--</x:v>
      </x:c>
      <x:c r="I30" s="12" t="str">
        <x:v>Continu/prolongé possible</x:v>
      </x:c>
      <x:c r="J30" s="12" t="str">
        <x:v>Données favorables selon concentration.</x:v>
      </x:c>
      <x:c r="K30" s="12" t="str"/>
    </x:row>
    <x:row r="31" ht="18" customHeight="1">
      <x:c r="A31" s="12" t="str">
        <x:v>Pipéracilline/tazobactam</x:v>
      </x:c>
      <x:c r="B31" s="12" t="str">
        <x:v>Micrel – données internes du laboratoire</x:v>
      </x:c>
      <x:c r="C31" s="12" t="str">
        <x:v>Pompe Rythmic PVC</x:v>
      </x:c>
      <x:c r="D31" s="12" t="str">
        <x:v>--</x:v>
      </x:c>
      <x:c r="E31" s="12" t="str">
        <x:v>--</x:v>
      </x:c>
      <x:c r="F31" s="12" t="str">
        <x:v>--</x:v>
      </x:c>
      <x:c r="G31" s="12" t="str">
        <x:v>--</x:v>
      </x:c>
      <x:c r="H31" s="12" t="str">
        <x:v>NaCl 0,9 % ; conc pipéracilline 10–80 mg/mL + tazobactam 1,25–10 mg/mL ; stab FT 7 j ; RT 24 h</x:v>
      </x:c>
      <x:c r="I31" s="12" t="str">
        <x:v>Micrel possible selon conditions</x:v>
      </x:c>
      <x:c r="J31" s="12" t="str">
        <x:v>Donnée spécifique contenant.</x:v>
      </x:c>
      <x:c r="K31" s="12" t="str"/>
    </x:row>
    <x:row r="32" ht="18" customHeight="1">
      <x:c r="A32" s="12" t="str">
        <x:v>Pipéracilline/tazobactam</x:v>
      </x:c>
      <x:c r="B32" s="12" t="str">
        <x:v>PubMed – littérature sélectionnée</x:v>
      </x:c>
      <x:c r="C32" s="12" t="str">
        <x:v>Perfusion continue ambulatoire ; diffuseur élastomère</x:v>
      </x:c>
      <x:c r="D32" s="12" t="str">
        <x:v>--</x:v>
      </x:c>
      <x:c r="E32" s="12" t="str">
        <x:v>Seringue PP ; données compatibles 24 h selon concentration</x:v>
      </x:c>
      <x:c r="F32" s="12" t="str">
        <x:v>NaCl 0,9 % ; diffuseur élastomère ; nombreuses études compatibles 24 h selon concentration/température</x:v>
      </x:c>
      <x:c r="G32" s="12" t="str">
        <x:v>--</x:v>
      </x:c>
      <x:c r="H32" s="12" t="str">
        <x:v>--</x:v>
      </x:c>
      <x:c r="I32" s="12" t="str">
        <x:v>Bon candidat perfusion continue</x:v>
      </x:c>
      <x:c r="J32" s="12" t="str">
        <x:v>Donnée élastomère séparée d’ANAPA et des poches classiques.</x:v>
      </x:c>
      <x:c r="K32" s="12" t="str">
        <x:v>https://ejhp.bmj.com/content/29/4/212</x:v>
      </x:c>
    </x:row>
    <x:row r="33" ht="18" customHeight="1">
      <x:c r="A33" s="12" t="str">
        <x:v>Vancomycine</x:v>
      </x:c>
      <x:c r="B33" s="12" t="str">
        <x:v>SPILF/SFPC 2025 + doc interne récent</x:v>
      </x:c>
      <x:c r="C33" s="12" t="str">
        <x:v>Continu 24 h possible</x:v>
      </x:c>
      <x:c r="D33" s="12" t="str">
        <x:v>NaCl 0,9 % ou G5 ; conc 25–37,5 mg/mL SPILF ; stab 24 h / doc interne : NaCl 0,9 % ; conc 80 mg/mL VVC ou 5 mg/mL VVP ; stab 24 h</x:v>
      </x:c>
      <x:c r="E33" s="12" t="str">
        <x:v>NaCl 0,9 % ; conc max 80 mg/mL VVC ou 5 mg/mL VVP ; stab 24 h selon doc interne</x:v>
      </x:c>
      <x:c r="F33" s="12" t="str">
        <x:v>--</x:v>
      </x:c>
      <x:c r="G33" s="12" t="str">
        <x:v>--</x:v>
      </x:c>
      <x:c r="H33" s="12" t="str">
        <x:v>--</x:v>
      </x:c>
      <x:c r="I33" s="12" t="str">
        <x:v>Continu possible</x:v>
      </x:c>
      <x:c r="J33" s="12" t="str">
        <x:v>Adapter concentration à la voie veineuse.</x:v>
      </x:c>
      <x:c r="K33" s="12" t="str"/>
    </x:row>
    <x:row r="34" ht="18" customHeight="1">
      <x:c r="A34" s="12" t="str">
        <x:v>Vancomycine</x:v>
      </x:c>
      <x:c r="B34" s="12" t="str">
        <x:v>PubMed – littérature sélectionnée</x:v>
      </x:c>
      <x:c r="C34" s="12" t="str">
        <x:v>Perfusion continue ; diffuseur élastomère et seringue PP</x:v>
      </x:c>
      <x:c r="D34" s="12" t="str">
        <x:v>--</x:v>
      </x:c>
      <x:c r="E34" s="12" t="str">
        <x:v>Seringue PP ; stabilité 24 h rapportée dans plusieurs études</x:v>
      </x:c>
      <x:c r="F34" s="12" t="str">
        <x:v>NaCl 0,9 % ou G5 ; diffuseur élastomère ; données compatibles 24 h selon concentration</x:v>
      </x:c>
      <x:c r="G34" s="12" t="str">
        <x:v>--</x:v>
      </x:c>
      <x:c r="H34" s="12" t="str">
        <x:v>--</x:v>
      </x:c>
      <x:c r="I34" s="12" t="str">
        <x:v>Très bon candidat à la perfusion continue</x:v>
      </x:c>
      <x:c r="J34" s="12" t="str">
        <x:v>Élastomère séparé d’ANAPA.</x:v>
      </x:c>
      <x:c r="K34" s="12" t="str">
        <x:v>https://pmc.ncbi.nlm.nih.gov/articles/PMC2901781/</x:v>
      </x:c>
    </x:row>
    <x:row r="35" ht="18" customHeight="1">
      <x:c r="A35" s="12" t="str">
        <x:v>Linezolide</x:v>
      </x:c>
      <x:c r="B35" s="12" t="str">
        <x:v>CH de Tourcoing 2017 + doc interne récent + Centre Léon Bérard – HAD</x:v>
      </x:c>
      <x:c r="C35" s="12" t="str">
        <x:v>Discontinue recommandée ; prêt à l’emploi ; perfusion 30–120 min</x:v>
      </x:c>
      <x:c r="D35" s="12" t="str">
        <x:v>Poche prête à l’emploi ; soluté de présentation ; conc commerciale 2 mg/mL ; stab 21 j RT ; NaCl/G5 compatibles selon source</x:v>
      </x:c>
      <x:c r="E35" s="12" t="str">
        <x:v>--</x:v>
      </x:c>
      <x:c r="F35" s="12" t="str">
        <x:v>--</x:v>
      </x:c>
      <x:c r="G35" s="12" t="str">
        <x:v>--</x:v>
      </x:c>
      <x:c r="H35" s="12" t="str">
        <x:v>--</x:v>
      </x:c>
      <x:c r="I35" s="12" t="str">
        <x:v>Discontinue</x:v>
      </x:c>
      <x:c r="J35" s="12" t="str">
        <x:v>Donnée à vérifier selon présentation locale.</x:v>
      </x:c>
      <x:c r="K35" s="12" t="str"/>
    </x:row>
    <x:row r="36" ht="18" customHeight="1">
      <x:c r="A36" s="12" t="str">
        <x:v>Cotrimoxazole IV / Bactrim®</x:v>
      </x:c>
      <x:c r="B36" s="12" t="str">
        <x:v>Protocole Pharmacie Interjurassienne + doc interne récent</x:v>
      </x:c>
      <x:c r="C36" s="12" t="str">
        <x:v>Discontinue recommandée ; perfusion 60 min ; durée max 90 min ; pas d’administration pure</x:v>
      </x:c>
      <x:c r="D36" s="12" t="str">
        <x:v>NaCl 0,9 % ou G5 ; dilution standard : 1 amp + 125 mL, 2 amp + 250 mL, 3 amp + 500 mL ; stab solution diluée 6 h RT à l’abri lumière ; sol. mère 1 h RT / restriction hydrique : 1 amp + 75 mL, 2 amp + 150 mL, 3 amp + 250 mL ; stab 2 h RT à l’abri lumière</x:v>
      </x:c>
      <x:c r="E36" s="12" t="str">
        <x:v>--</x:v>
      </x:c>
      <x:c r="F36" s="12" t="str">
        <x:v>--</x:v>
      </x:c>
      <x:c r="G36" s="12" t="str">
        <x:v>--</x:v>
      </x:c>
      <x:c r="H36" s="12" t="str">
        <x:v>--</x:v>
      </x:c>
      <x:c r="I36" s="12" t="str">
        <x:v>Discontinue ; attention restriction hydrique</x:v>
      </x:c>
      <x:c r="J36" s="12" t="str">
        <x:v>voie centrale préférable si disponible car très phlébogène ; jeter si trouble/cristaux.</x:v>
      </x:c>
      <x:c r="K36" s="12" t="str"/>
    </x:row>
    <x:row r="37" ht="18" customHeight="1">
      <x:c r="A37" s="12" t="str">
        <x:v>Gentamicine</x:v>
      </x:c>
      <x:c r="B37" s="12" t="str">
        <x:v>Doc interne récent</x:v>
      </x:c>
      <x:c r="C37" s="12" t="str">
        <x:v>Discontinue recommandée ; aminoside ; IVSE sur 30 min</x:v>
      </x:c>
      <x:c r="D37" s="12" t="str">
        <x:v>NaCl 0,9 % ou G5 ; conc max 10 mg/mL ; stab 24 h RT</x:v>
      </x:c>
      <x:c r="E37" s="12" t="str">
        <x:v>NaCl 0,9 % ou G5 ; conc max 10 mg/mL ; stab 24 h RT ; IVSE intermittent 30 min</x:v>
      </x:c>
      <x:c r="F37" s="12" t="str">
        <x:v>--</x:v>
      </x:c>
      <x:c r="G37" s="12" t="str">
        <x:v>--</x:v>
      </x:c>
      <x:c r="H37" s="12" t="str">
        <x:v>--</x:v>
      </x:c>
      <x:c r="I37" s="12" t="str">
        <x:v>Discontinue</x:v>
      </x:c>
      <x:c r="J37" s="12" t="str">
        <x:v>Suivi pic/résiduel selon protocole aminosides.</x:v>
      </x:c>
      <x:c r="K37" s="12" t="str"/>
    </x:row>
    <x:row r="38" ht="18" customHeight="1">
      <x:c r="A38" s="12" t="str">
        <x:v>Levofloxacine</x:v>
      </x:c>
      <x:c r="B38" s="12" t="str">
        <x:v>CH de Tourcoing 2017 + doc interne récent</x:v>
      </x:c>
      <x:c r="C38" s="12" t="str">
        <x:v>Discontinue recommandée ; prêt à l’emploi ; perfusion 60 min</x:v>
      </x:c>
      <x:c r="D38" s="12" t="str">
        <x:v>Prêt à l’emploi ; soluté de présentation ; conc commerciale ; stab non détaillée dans source récente / Tourcoing : prêt à l’emploi</x:v>
      </x:c>
      <x:c r="E38" s="12" t="str">
        <x:v>--</x:v>
      </x:c>
      <x:c r="F38" s="12" t="str">
        <x:v>--</x:v>
      </x:c>
      <x:c r="G38" s="12" t="str">
        <x:v>--</x:v>
      </x:c>
      <x:c r="H38" s="12" t="str">
        <x:v>--</x:v>
      </x:c>
      <x:c r="I38" s="12" t="str">
        <x:v>Discontinue</x:v>
      </x:c>
      <x:c r="J38" s="12" t="str">
        <x:v>Donnée de stabilité détaillée limitée dans les sources intégrées.</x:v>
      </x:c>
      <x:c r="K38" s="12" t="str"/>
    </x:row>
    <x:row r="39" ht="18" customHeight="1">
      <x:c r="A39" s="12" t="str">
        <x:v>Métronidazole</x:v>
      </x:c>
      <x:c r="B39" s="12" t="str">
        <x:v>CH de Tourcoing 2017 + doc interne récent</x:v>
      </x:c>
      <x:c r="C39" s="12" t="str">
        <x:v>Discontinue recommandée ; prêt à l’emploi ; perfusion 30–60 min</x:v>
      </x:c>
      <x:c r="D39" s="12" t="str">
        <x:v>Prêt à l’emploi ; 500 mg/100 mL ; soluté de présentation ; stab non détaillée dans source récente / Tourcoing : prêt à l’emploi</x:v>
      </x:c>
      <x:c r="E39" s="12" t="str">
        <x:v>--</x:v>
      </x:c>
      <x:c r="F39" s="12" t="str">
        <x:v>--</x:v>
      </x:c>
      <x:c r="G39" s="12" t="str">
        <x:v>--</x:v>
      </x:c>
      <x:c r="H39" s="12" t="str">
        <x:v>--</x:v>
      </x:c>
      <x:c r="I39" s="12" t="str">
        <x:v>Discontinue</x:v>
      </x:c>
      <x:c r="J39" s="12" t="str">
        <x:v>Ne pas inventer de stabilité si la source indique seulement prêt à l’emploi.</x:v>
      </x:c>
      <x:c r="K39" s="12" t="str"/>
    </x:row>
    <x:row r="40" ht="18" customHeight="1">
      <x:c r="A40" s="12" t="str">
        <x:v>Ofloxacine</x:v>
      </x:c>
      <x:c r="B40" s="12" t="str">
        <x:v>CH de Tourcoing 2017 + doc interne récent</x:v>
      </x:c>
      <x:c r="C40" s="12" t="str">
        <x:v>Discontinue recommandée ; prêt à l’emploi ; perfusion 30 min</x:v>
      </x:c>
      <x:c r="D40" s="12" t="str">
        <x:v>Prêt à l’emploi ; 200 mg/40 mL ; soluté de présentation ; stab non détaillée</x:v>
      </x:c>
      <x:c r="E40" s="12" t="str">
        <x:v>--</x:v>
      </x:c>
      <x:c r="F40" s="12" t="str">
        <x:v>--</x:v>
      </x:c>
      <x:c r="G40" s="12" t="str">
        <x:v>--</x:v>
      </x:c>
      <x:c r="H40" s="12" t="str">
        <x:v>--</x:v>
      </x:c>
      <x:c r="I40" s="12" t="str">
        <x:v>Discontinue</x:v>
      </x:c>
      <x:c r="J40" s="12" t="str">
        <x:v>Donnée limitée à la modalité d’administration dans les sources.</x:v>
      </x:c>
      <x:c r="K40" s="12" t="str"/>
    </x:row>
    <x:row r="41" ht="18" customHeight="1">
      <x:c r="A41" s="12" t="str">
        <x:v>Colistine</x:v>
      </x:c>
      <x:c r="B41" s="12" t="str">
        <x:v>Doc interne récent</x:v>
      </x:c>
      <x:c r="C41" s="12" t="str">
        <x:v>Continu 24 h possible</x:v>
      </x:c>
      <x:c r="D41" s="12" t="str">
        <x:v>NaCl 0,9 % ; conc max 0,02 MUI/mL ; stab 24 h RT</x:v>
      </x:c>
      <x:c r="E41" s="12" t="str">
        <x:v>NaCl 0,9 % ; conc max 0,02 MUI/mL ; stab 24 h RT</x:v>
      </x:c>
      <x:c r="F41" s="12" t="str">
        <x:v>--</x:v>
      </x:c>
      <x:c r="G41" s="12" t="str">
        <x:v>--</x:v>
      </x:c>
      <x:c r="H41" s="12" t="str">
        <x:v>--</x:v>
      </x:c>
      <x:c r="I41" s="12" t="str">
        <x:v>Continu possible</x:v>
      </x:c>
      <x:c r="J41" s="12" t="str">
        <x:v>Préparation très diluée selon document interne.</x:v>
      </x:c>
      <x:c r="K41" s="12" t="str"/>
    </x:row>
    <x:row r="42" ht="18" customHeight="1">
      <x:c r="A42" s="12" t="str">
        <x:v>Fosfomycine IV</x:v>
      </x:c>
      <x:c r="B42" s="12" t="str">
        <x:v>Doc interne récent</x:v>
      </x:c>
      <x:c r="C42" s="12" t="str">
        <x:v>Continu 24 h possible ; IVSE ou pompe volumétrique</x:v>
      </x:c>
      <x:c r="D42" s="12" t="str">
        <x:v>NaCl 0,9 % ; conc max 40 mg/mL ; stab 24 h RT</x:v>
      </x:c>
      <x:c r="E42" s="12" t="str">
        <x:v>NaCl 0,9 % ; conc max 40 mg/mL ; stab 24 h RT ; IVSE/pompe possible</x:v>
      </x:c>
      <x:c r="F42" s="12" t="str">
        <x:v>--</x:v>
      </x:c>
      <x:c r="G42" s="12" t="str">
        <x:v>--</x:v>
      </x:c>
      <x:c r="H42" s="12" t="str">
        <x:v>--</x:v>
      </x:c>
      <x:c r="I42" s="12" t="str">
        <x:v>Continu possible</x:v>
      </x:c>
      <x:c r="J42" s="12" t="str">
        <x:v>Exemples internes : 4 g/100 mL, 16 g/500 mL.</x:v>
      </x:c>
      <x:c r="K42" s="12" t="str"/>
    </x:row>
    <x:row r="43" ht="18" customHeight="1">
      <x:c r="A43" s="12" t="str">
        <x:v>Témocilline</x:v>
      </x:c>
      <x:c r="B43" s="12" t="str">
        <x:v>Doc interne récent</x:v>
      </x:c>
      <x:c r="C43" s="12" t="str">
        <x:v>Continu 24 h possible ; IVSE ou pompe volumétrique</x:v>
      </x:c>
      <x:c r="D43" s="12" t="str">
        <x:v>NaCl 0,9 % ; conc max 80 mg/mL ; stab 24 h RT</x:v>
      </x:c>
      <x:c r="E43" s="12" t="str">
        <x:v>NaCl 0,9 % ; conc max 80 mg/mL ; stab 24 h RT ; ex 4–6 g/48 mL/24 h</x:v>
      </x:c>
      <x:c r="F43" s="12" t="str">
        <x:v>--</x:v>
      </x:c>
      <x:c r="G43" s="12" t="str">
        <x:v>--</x:v>
      </x:c>
      <x:c r="H43" s="12" t="str">
        <x:v>--</x:v>
      </x:c>
      <x:c r="I43" s="12" t="str">
        <x:v>Continu possible</x:v>
      </x:c>
      <x:c r="J43" s="12" t="str">
        <x:v>Donnée exploitable pour stratégie continue.</x:v>
      </x:c>
      <x:c r="K43" s="12" t="str"/>
    </x:row>
    <x:row r="44" ht="18" customHeight="1">
      <x:c r="A44" s="12" t="str">
        <x:v>Teicoplanine</x:v>
      </x:c>
      <x:c r="B44" s="12" t="str">
        <x:v>Doc interne récent</x:v>
      </x:c>
      <x:c r="C44" s="12" t="str">
        <x:v>Discontinue recommandée ; perfusion 60 min</x:v>
      </x:c>
      <x:c r="D44" s="12" t="str">
        <x:v>NaCl 0,9 % ; 100–200 mg/50 mL ou 400 mg/100 mL ; stab 24 h RT ; conc max non explicitée</x:v>
      </x:c>
      <x:c r="E44" s="12" t="str">
        <x:v>--</x:v>
      </x:c>
      <x:c r="F44" s="12" t="str">
        <x:v>--</x:v>
      </x:c>
      <x:c r="G44" s="12" t="str">
        <x:v>--</x:v>
      </x:c>
      <x:c r="H44" s="12" t="str">
        <x:v>--</x:v>
      </x:c>
      <x:c r="I44" s="12" t="str">
        <x:v>Discontinue</x:v>
      </x:c>
      <x:c r="J44" s="12" t="str">
        <x:v>SPILF 2025 : pas de donnée de stabilité retenue pour perfusion prolongée/continue.</x:v>
      </x:c>
      <x:c r="K44" s="12" t="str"/>
    </x:row>
    <x:row r="45" ht="18" customHeight="1">
      <x:c r="A45" s="12" t="str">
        <x:v>Spiramycine</x:v>
      </x:c>
      <x:c r="B45" s="12" t="str">
        <x:v>Doc interne récent</x:v>
      </x:c>
      <x:c r="C45" s="12" t="str">
        <x:v>Discontinue recommandée ; perfusion 60 min</x:v>
      </x:c>
      <x:c r="D45" s="12" t="str">
        <x:v>G5 ; conc non précisée ; stab 12 h RT</x:v>
      </x:c>
      <x:c r="E45" s="12" t="str">
        <x:v>--</x:v>
      </x:c>
      <x:c r="F45" s="12" t="str">
        <x:v>--</x:v>
      </x:c>
      <x:c r="G45" s="12" t="str">
        <x:v>--</x:v>
      </x:c>
      <x:c r="H45" s="12" t="str">
        <x:v>--</x:v>
      </x:c>
      <x:c r="I45" s="12" t="str">
        <x:v>Discontinue</x:v>
      </x:c>
      <x:c r="J45" s="12" t="str">
        <x:v>NaCl non retenu dans l’extrait source.</x:v>
      </x:c>
      <x:c r="K45" s="12" t="str"/>
    </x:row>
    <x:row r="46" ht="18" customHeight="1">
      <x:c r="A46" s="12" t="str">
        <x:v>Rifampicine IV</x:v>
      </x:c>
      <x:c r="B46" s="12" t="str">
        <x:v>Doc interne récent</x:v>
      </x:c>
      <x:c r="C46" s="12" t="str">
        <x:v>Discontinue recommandée ; perfusion 90 min</x:v>
      </x:c>
      <x:c r="D46" s="12" t="str">
        <x:v>G5 ; 600 mg/250 mL ; solvant fourni obligatoire ; NaCl incompatible ; stab non précisée</x:v>
      </x:c>
      <x:c r="E46" s="12" t="str">
        <x:v>--</x:v>
      </x:c>
      <x:c r="F46" s="12" t="str">
        <x:v>--</x:v>
      </x:c>
      <x:c r="G46" s="12" t="str">
        <x:v>--</x:v>
      </x:c>
      <x:c r="H46" s="12" t="str">
        <x:v>--</x:v>
      </x:c>
      <x:c r="I46" s="12" t="str">
        <x:v>Discontinue</x:v>
      </x:c>
      <x:c r="J46" s="12" t="str">
        <x:v>Incompatibilité NaCl à afficher clairement.</x:v>
      </x:c>
      <x:c r="K46" s="12" t="str"/>
    </x:row>
    <x:row r="47" ht="18" customHeight="1">
      <x:c r="A47" s="12" t="str">
        <x:v>Voriconazole IV</x:v>
      </x:c>
      <x:c r="B47" s="12" t="str">
        <x:v>Doc interne récent + Centre Léon Bérard – HAD</x:v>
      </x:c>
      <x:c r="C47" s="12" t="str">
        <x:v>Discontinue/prolongée ; perfusion 1–3 h ; débit max 3 mg/kg/h ; pas IVD</x:v>
      </x:c>
      <x:c r="D47" s="12" t="str">
        <x:v>NaCl 0,9 % ou G5 ; conc 0,5–5 mg/mL ; stab 24 h entre 2–8°C</x:v>
      </x:c>
      <x:c r="E47" s="12" t="str">
        <x:v>--</x:v>
      </x:c>
      <x:c r="F47" s="12" t="str">
        <x:v>--</x:v>
      </x:c>
      <x:c r="G47" s="12" t="str">
        <x:v>--</x:v>
      </x:c>
      <x:c r="H47" s="12" t="str">
        <x:v>--</x:v>
      </x:c>
      <x:c r="I47" s="12" t="str">
        <x:v>Discontinue/prolongée</x:v>
      </x:c>
      <x:c r="J47" s="12" t="str">
        <x:v>Vitesse maximale à respecter.</x:v>
      </x:c>
      <x:c r="K47" s="12" t="str"/>
    </x:row>
    <x:row r="48" ht="18" customHeight="1">
      <x:c r="A48" s="12" t="str">
        <x:v>Caspofungine</x:v>
      </x:c>
      <x:c r="B48" s="12" t="str">
        <x:v>Doc interne récent + Centre Léon Bérard – HAD</x:v>
      </x:c>
      <x:c r="C48" s="12" t="str">
        <x:v>Discontinue recommandée ; perfusion 60 min</x:v>
      </x:c>
      <x:c r="D48" s="12" t="str">
        <x:v>NaCl 0,9 % exclusivement ; 50 mg/100 mL ou 70 mg/250 mL ; stab 24 h RT ; G5 incompatible</x:v>
      </x:c>
      <x:c r="E48" s="12" t="str">
        <x:v>--</x:v>
      </x:c>
      <x:c r="F48" s="12" t="str">
        <x:v>--</x:v>
      </x:c>
      <x:c r="G48" s="12" t="str">
        <x:v>--</x:v>
      </x:c>
      <x:c r="H48" s="12" t="str">
        <x:v>--</x:v>
      </x:c>
      <x:c r="I48" s="12" t="str">
        <x:v>Discontinue</x:v>
      </x:c>
      <x:c r="J48" s="12" t="str">
        <x:v>NaCl exclusivement.</x:v>
      </x:c>
      <x:c r="K48" s="12" t="str"/>
    </x:row>
    <x:row r="49" ht="18" customHeight="1">
      <x:c r="A49" s="12" t="str">
        <x:v>Fluconazole</x:v>
      </x:c>
      <x:c r="B49" s="12" t="str">
        <x:v>Doc interne récent</x:v>
      </x:c>
      <x:c r="C49" s="12" t="str">
        <x:v>Discontinue recommandée ; prêt à l’emploi ; perfusion 60 min</x:v>
      </x:c>
      <x:c r="D49" s="12" t="str">
        <x:v>Prêt à l’emploi ; conc commerciale ; stabilité non précisée</x:v>
      </x:c>
      <x:c r="E49" s="12" t="str">
        <x:v>--</x:v>
      </x:c>
      <x:c r="F49" s="12" t="str">
        <x:v>--</x:v>
      </x:c>
      <x:c r="G49" s="12" t="str">
        <x:v>--</x:v>
      </x:c>
      <x:c r="H49" s="12" t="str">
        <x:v>--</x:v>
      </x:c>
      <x:c r="I49" s="12" t="str">
        <x:v>Discontinue</x:v>
      </x:c>
      <x:c r="J49" s="12" t="str">
        <x:v>Donnée limitée à la présentation prête à l’emploi.</x:v>
      </x:c>
      <x:c r="K49" s="12" t="str"/>
    </x:row>
    <x:row r="50" ht="18" customHeight="1">
      <x:c r="A50" s="12" t="str">
        <x:v>Artesunate</x:v>
      </x:c>
      <x:c r="B50" s="12" t="str">
        <x:v>Doc interne récent + CH de Tourcoing 2017</x:v>
      </x:c>
      <x:c r="C50" s="12" t="str">
        <x:v>Discontinue recommandée ; perfusion 30 min ou IV lente selon source</x:v>
      </x:c>
      <x:c r="D50" s="12" t="str">
        <x:v>NaCl 0,9 % ; conc max 10 mg/mL ; stab 6 h RT</x:v>
      </x:c>
      <x:c r="E50" s="12" t="str">
        <x:v>--</x:v>
      </x:c>
      <x:c r="F50" s="12" t="str">
        <x:v>--</x:v>
      </x:c>
      <x:c r="G50" s="12" t="str">
        <x:v>--</x:v>
      </x:c>
      <x:c r="H50" s="12" t="str">
        <x:v>--</x:v>
      </x:c>
      <x:c r="I50" s="12" t="str">
        <x:v>Discontinue</x:v>
      </x:c>
      <x:c r="J50" s="12" t="str">
        <x:v>Solvant fourni / bicarbonate selon source.</x:v>
      </x:c>
      <x:c r="K50" s="12" t="str"/>
    </x:row>
    <x:row r="51" ht="18" customHeight="1">
      <x:c r="A51" s="12" t="str">
        <x:v>Pentamidine</x:v>
      </x:c>
      <x:c r="B51" s="12" t="str">
        <x:v>Doc interne récent + CH de Tourcoing 2017</x:v>
      </x:c>
      <x:c r="C51" s="12" t="str">
        <x:v>Discontinue recommandée ; perfusion 60 min ; aérosol possible selon indication</x:v>
      </x:c>
      <x:c r="D51" s="12" t="str">
        <x:v>G5 ; 300 mg/100 mL selon doc interne ; NaCl incompatible ; stab non précisée</x:v>
      </x:c>
      <x:c r="E51" s="12" t="str">
        <x:v>--</x:v>
      </x:c>
      <x:c r="F51" s="12" t="str">
        <x:v>--</x:v>
      </x:c>
      <x:c r="G51" s="12" t="str">
        <x:v>--</x:v>
      </x:c>
      <x:c r="H51" s="12" t="str">
        <x:v>--</x:v>
      </x:c>
      <x:c r="I51" s="12" t="str">
        <x:v>Discontinue</x:v>
      </x:c>
      <x:c r="J51" s="12" t="str">
        <x:v>NaCl incompatible.</x:v>
      </x:c>
      <x:c r="K51" s="12" t="str"/>
    </x:row>
    <x:row r="52" ht="18" customHeight="1">
      <x:c r="A52" s="12" t="str">
        <x:v>Aztréonam</x:v>
      </x:c>
      <x:c r="B52" s="12" t="str">
        <x:v>Centre Léon Bérard – HAD</x:v>
      </x:c>
      <x:c r="C52" s="12" t="str">
        <x:v>Perfusion IV continue en diffuseur élastomère ; 24 h</x:v>
      </x:c>
      <x:c r="D52" s="12" t="str">
        <x:v>--</x:v>
      </x:c>
      <x:c r="E52" s="12" t="str">
        <x:v>--</x:v>
      </x:c>
      <x:c r="F52" s="12" t="str">
        <x:v>NaCl 0,9 % ; diffuseur élastomère ; conc max 100 mg/mL ; stab 24 h</x:v>
      </x:c>
      <x:c r="G52" s="12" t="str">
        <x:v>--</x:v>
      </x:c>
      <x:c r="H52" s="12" t="str">
        <x:v>--</x:v>
      </x:c>
      <x:c r="I52" s="12" t="str">
        <x:v>Diffuseur élastomère 24 h possible</x:v>
      </x:c>
      <x:c r="J52" s="12" t="str">
        <x:v>Dans ce document, “diffuseur” = diffuseur élastomère ; à ne pas confondre avec ANAPA.</x:v>
      </x:c>
      <x:c r="K52" s="12" t="str"/>
    </x:row>
    <x:row r="53" ht="18" customHeight="1">
      <x:c r="A53" s="12" t="str">
        <x:v>Céfazoline</x:v>
      </x:c>
      <x:c r="B53" s="12" t="str">
        <x:v>Centre Léon Bérard – HAD</x:v>
      </x:c>
      <x:c r="C53" s="12" t="str">
        <x:v>Perfusion IV continue en diffuseur élastomère ; 24 h ; abri lumière</x:v>
      </x:c>
      <x:c r="D53" s="12" t="str">
        <x:v>--</x:v>
      </x:c>
      <x:c r="E53" s="12" t="str">
        <x:v>--</x:v>
      </x:c>
      <x:c r="F53" s="12" t="str">
        <x:v>NaCl 0,9 % ou G5 ; diffuseur élastomère ; conc max 40 mg/mL ; stab 24 h ; abri lumière</x:v>
      </x:c>
      <x:c r="G53" s="12" t="str">
        <x:v>--</x:v>
      </x:c>
      <x:c r="H53" s="12" t="str">
        <x:v>--</x:v>
      </x:c>
      <x:c r="I53" s="12" t="str">
        <x:v>Diffuseur élastomère 24 h possible</x:v>
      </x:c>
      <x:c r="J53" s="12" t="str">
        <x:v>Donnée Centre Léon Bérard – HAD.</x:v>
      </x:c>
      <x:c r="K53" s="12" t="str"/>
    </x:row>
    <x:row r="54" ht="18" customHeight="1">
      <x:c r="A54" s="12" t="str">
        <x:v>Céfépime</x:v>
      </x:c>
      <x:c r="B54" s="12" t="str">
        <x:v>Centre Léon Bérard – HAD</x:v>
      </x:c>
      <x:c r="C54" s="12" t="str">
        <x:v>Perfusion IV continue en diffuseur élastomère ; changement toutes les 12 h ; abri lumière</x:v>
      </x:c>
      <x:c r="D54" s="12" t="str">
        <x:v>--</x:v>
      </x:c>
      <x:c r="E54" s="12" t="str">
        <x:v>--</x:v>
      </x:c>
      <x:c r="F54" s="12" t="str">
        <x:v>NaCl 0,9 % ; diffuseur élastomère ; stabilité 12 h ; abri lumière ; conc max non précisée dans l’extrait</x:v>
      </x:c>
      <x:c r="G54" s="12" t="str">
        <x:v>--</x:v>
      </x:c>
      <x:c r="H54" s="12" t="str">
        <x:v>--</x:v>
      </x:c>
      <x:c r="I54" s="12" t="str">
        <x:v>Diffuseur élastomère 12 h</x:v>
      </x:c>
      <x:c r="J54" s="12" t="str">
        <x:v>Plus restrictif que SPILF/Micrel ; lié au dispositif et à la pratique HAD.</x:v>
      </x:c>
      <x:c r="K54" s="12" t="str"/>
    </x:row>
    <x:row r="55" ht="18" customHeight="1">
      <x:c r="A55" s="12" t="str">
        <x:v>Céfotaxime</x:v>
      </x:c>
      <x:c r="B55" s="12" t="str">
        <x:v>Centre Léon Bérard – HAD</x:v>
      </x:c>
      <x:c r="C55" s="12" t="str">
        <x:v>Perfusion IV continue en diffuseur élastomère ; 24 h ; abri lumière</x:v>
      </x:c>
      <x:c r="D55" s="12" t="str">
        <x:v>--</x:v>
      </x:c>
      <x:c r="E55" s="12" t="str">
        <x:v>--</x:v>
      </x:c>
      <x:c r="F55" s="12" t="str">
        <x:v>NaCl 0,9 % ; diffuseur élastomère ; conc max 40 mg/mL ; stab 24 h ; abri lumière</x:v>
      </x:c>
      <x:c r="G55" s="12" t="str">
        <x:v>--</x:v>
      </x:c>
      <x:c r="H55" s="12" t="str">
        <x:v>--</x:v>
      </x:c>
      <x:c r="I55" s="12" t="str">
        <x:v>Diffuseur élastomère 24 h possible</x:v>
      </x:c>
      <x:c r="J55" s="12" t="str">
        <x:v>Donnée Centre Léon Bérard – HAD.</x:v>
      </x:c>
      <x:c r="K55" s="12" t="str"/>
    </x:row>
    <x:row r="56" ht="18" customHeight="1">
      <x:c r="A56" s="12" t="str">
        <x:v>Céfoxitine</x:v>
      </x:c>
      <x:c r="B56" s="12" t="str">
        <x:v>Centre Léon Bérard – HAD</x:v>
      </x:c>
      <x:c r="C56" s="12" t="str">
        <x:v>Perfusion IV continue en diffuseur élastomère ; 24 h ; abri lumière</x:v>
      </x:c>
      <x:c r="D56" s="12" t="str">
        <x:v>--</x:v>
      </x:c>
      <x:c r="E56" s="12" t="str">
        <x:v>--</x:v>
      </x:c>
      <x:c r="F56" s="12" t="str">
        <x:v>NaCl 0,9 % ; diffuseur élastomère ; conc max 40 mg/mL ; stab 24 h ; abri lumière</x:v>
      </x:c>
      <x:c r="G56" s="12" t="str">
        <x:v>--</x:v>
      </x:c>
      <x:c r="H56" s="12" t="str">
        <x:v>--</x:v>
      </x:c>
      <x:c r="I56" s="12" t="str">
        <x:v>Diffuseur élastomère 24 h possible</x:v>
      </x:c>
      <x:c r="J56" s="12" t="str">
        <x:v>Donnée Centre Léon Bérard – HAD.</x:v>
      </x:c>
      <x:c r="K56" s="12" t="str"/>
    </x:row>
    <x:row r="57" ht="18" customHeight="1">
      <x:c r="A57" s="12" t="str">
        <x:v>Ceftazidime</x:v>
      </x:c>
      <x:c r="B57" s="12" t="str">
        <x:v>Centre Léon Bérard – HAD</x:v>
      </x:c>
      <x:c r="C57" s="12" t="str">
        <x:v>Perfusion IV continue en diffuseur élastomère ; durée selon dose ; abri lumière</x:v>
      </x:c>
      <x:c r="D57" s="12" t="str">
        <x:v>--</x:v>
      </x:c>
      <x:c r="E57" s="12" t="str">
        <x:v>--</x:v>
      </x:c>
      <x:c r="F57" s="12" t="str">
        <x:v>NaCl 0,9 % ; diffuseur élastomère ; conc max 40 mg/mL ; si dose &lt;6 g : stab 24 h ; si dose ≥6 g : changement q12 h ; abri lumière</x:v>
      </x:c>
      <x:c r="G57" s="12" t="str">
        <x:v>--</x:v>
      </x:c>
      <x:c r="H57" s="12" t="str">
        <x:v>--</x:v>
      </x:c>
      <x:c r="I57" s="12" t="str">
        <x:v>Diffuseur élastomère 12–24 h selon dose</x:v>
      </x:c>
      <x:c r="J57" s="12" t="str">
        <x:v>Attention température &gt;25°C et produits de dégradation.</x:v>
      </x:c>
      <x:c r="K57" s="12" t="str"/>
    </x:row>
    <x:row r="58" ht="18" customHeight="1">
      <x:c r="A58" s="12" t="str">
        <x:v>Aciclovir</x:v>
      </x:c>
      <x:c r="B58" s="12" t="str">
        <x:v>NEOPUMP – données internes fabricant élastomère</x:v>
      </x:c>
      <x:c r="C58" s="12" t="str">
        <x:v>Diffuseur élastomère Easyflow/NEOPUMP ; données internes fabricant </x:v>
      </x:c>
      <x:c r="D58" s="12" t="str">
        <x:v>--</x:v>
      </x:c>
      <x:c r="E58" s="12" t="str">
        <x:v>--</x:v>
      </x:c>
      <x:c r="F58" s="12" t="str">
        <x:v>NaCl 0,9 % ; conc 10 mg/mL (1 g/100 mL) ; stab 24 h à 25°C et 32°C</x:v>
      </x:c>
      <x:c r="G58" s="12" t="str">
        <x:v>--</x:v>
      </x:c>
      <x:c r="H58" s="12" t="str">
        <x:v>--</x:v>
      </x:c>
      <x:c r="I58" s="12" t="str">
        <x:v>NEOPUMP élastomère 24 h</x:v>
      </x:c>
      <x:c r="J58" s="12" t="str">
        <x:v>Donnée spécifique diffuseur élastomère NEOPUMP/Easyflow.</x:v>
      </x:c>
      <x:c r="K58" s="12" t="str"/>
    </x:row>
    <x:row r="59" ht="18" customHeight="1">
      <x:c r="A59" s="12" t="str">
        <x:v>Amikacine</x:v>
      </x:c>
      <x:c r="B59" s="12" t="str">
        <x:v>NEOPUMP – données internes fabricant élastomère</x:v>
      </x:c>
      <x:c r="C59" s="12" t="str">
        <x:v>Diffuseur élastomère Easyflow/NEOPUMP ; données internes fabricant </x:v>
      </x:c>
      <x:c r="D59" s="12" t="str">
        <x:v>--</x:v>
      </x:c>
      <x:c r="E59" s="12" t="str">
        <x:v>--</x:v>
      </x:c>
      <x:c r="F59" s="12" t="str">
        <x:v>NaCl 0,9 % ; conc 2 mg/mL (0,5 g/240 mL) et 5 mg/mL (0,5 g/100 mL) ; stab 24 h à 25°C et 32°C</x:v>
      </x:c>
      <x:c r="G59" s="12" t="str">
        <x:v>--</x:v>
      </x:c>
      <x:c r="H59" s="12" t="str">
        <x:v>--</x:v>
      </x:c>
      <x:c r="I59" s="12" t="str">
        <x:v>NEOPUMP élastomère 24 h physicochimique</x:v>
      </x:c>
      <x:c r="J59" s="12" t="str">
        <x:v>Stabilité physicochimique ≠ recommandation clinique de perfusion continue pour aminoside.</x:v>
      </x:c>
      <x:c r="K59" s="12" t="str"/>
    </x:row>
    <x:row r="60" ht="18" customHeight="1">
      <x:c r="A60" s="12" t="str">
        <x:v>Amoxicilline</x:v>
      </x:c>
      <x:c r="B60" s="12" t="str">
        <x:v>NEOPUMP – données internes fabricant élastomère</x:v>
      </x:c>
      <x:c r="C60" s="12" t="str">
        <x:v>Diffuseur élastomère Easyflow/NEOPUMP ; données internes fabricant </x:v>
      </x:c>
      <x:c r="D60" s="12" t="str">
        <x:v>--</x:v>
      </x:c>
      <x:c r="E60" s="12" t="str">
        <x:v>--</x:v>
      </x:c>
      <x:c r="F60" s="12" t="str">
        <x:v>NaCl 0,9 % ; conc 10 mg/mL (2,4 g/240 mL) : stab 24 h à 25°C et 32°C ; conc 20 mg/mL (4,9 g/240 mL) : stab 6 h à 25°C et 32°C</x:v>
      </x:c>
      <x:c r="G60" s="12" t="str">
        <x:v>--</x:v>
      </x:c>
      <x:c r="H60" s="12" t="str">
        <x:v>--</x:v>
      </x:c>
      <x:c r="I60" s="12" t="str">
        <x:v>NEOPUMP : 24 h si 10 mg/mL ; 6 h si 20 mg/mL</x:v>
      </x:c>
      <x:c r="J60" s="12" t="str">
        <x:v>Forte dépendance à la concentration.</x:v>
      </x:c>
      <x:c r="K60" s="12" t="str"/>
    </x:row>
    <x:row r="61" ht="18" customHeight="1">
      <x:c r="A61" s="12" t="str">
        <x:v>Amoxicilline/acide clavulanique</x:v>
      </x:c>
      <x:c r="B61" s="12" t="str">
        <x:v>NEOPUMP – données internes fabricant élastomère</x:v>
      </x:c>
      <x:c r="C61" s="12" t="str">
        <x:v>Diffuseur élastomère Easyflow/NEOPUMP ; données internes fabricant </x:v>
      </x:c>
      <x:c r="D61" s="12" t="str">
        <x:v>--</x:v>
      </x:c>
      <x:c r="E61" s="12" t="str">
        <x:v>--</x:v>
      </x:c>
      <x:c r="F61" s="12" t="str">
        <x:v>NaCl 0,9 % exclusivement ; conc 10 mg/mL : stab 24 h à 4°C, 12 h à 25°C ; conc 12 mg/mL : stab 24 h à 4°C, 12 h à 25°C ; pas de donnée 32°C ; G5 contre-indiqué/incompatible</x:v>
      </x:c>
      <x:c r="G61" s="12" t="str">
        <x:v>--</x:v>
      </x:c>
      <x:c r="H61" s="12" t="str">
        <x:v>--</x:v>
      </x:c>
      <x:c r="I61" s="12" t="str">
        <x:v>NEOPUMP : 12 h à 25°C ; pas 24 h RT</x:v>
      </x:c>
      <x:c r="J61" s="12" t="str">
        <x:v>Discordant avec la recommandation pratique de ne pas utiliser en continu prolongé ; donnée fabricant à contextualiser.</x:v>
      </x:c>
      <x:c r="K61" s="12" t="str"/>
    </x:row>
    <x:row r="62" ht="18" customHeight="1">
      <x:c r="A62" s="12" t="str">
        <x:v>Ampicilline</x:v>
      </x:c>
      <x:c r="B62" s="12" t="str">
        <x:v>NEOPUMP – données internes fabricant élastomère</x:v>
      </x:c>
      <x:c r="C62" s="12" t="str">
        <x:v>Diffuseur élastomère Easyflow/NEOPUMP ; données internes fabricant </x:v>
      </x:c>
      <x:c r="D62" s="12" t="str">
        <x:v>--</x:v>
      </x:c>
      <x:c r="E62" s="12" t="str">
        <x:v>--</x:v>
      </x:c>
      <x:c r="F62" s="12" t="str">
        <x:v>NaCl 0,9 % ; conc 5 mg/mL (0,5 g/100 mL) et 20 mg/mL (5 g/240 mL) ; stab 24 h à 4°C, 25°C et 32°C</x:v>
      </x:c>
      <x:c r="G62" s="12" t="str">
        <x:v>--</x:v>
      </x:c>
      <x:c r="H62" s="12" t="str">
        <x:v>--</x:v>
      </x:c>
      <x:c r="I62" s="12" t="str">
        <x:v>NEOPUMP élastomère 24 h</x:v>
      </x:c>
      <x:c r="J62" s="12" t="str">
        <x:v>Donnée spécifique diffuseur élastomère.</x:v>
      </x:c>
      <x:c r="K62" s="12" t="str"/>
    </x:row>
    <x:row r="63" ht="18" customHeight="1">
      <x:c r="A63" s="12" t="str">
        <x:v>Céfazoline</x:v>
      </x:c>
      <x:c r="B63" s="12" t="str">
        <x:v>NEOPUMP – données internes fabricant élastomère</x:v>
      </x:c>
      <x:c r="C63" s="12" t="str">
        <x:v>Diffuseur élastomère Easyflow/NEOPUMP ; données internes fabricant </x:v>
      </x:c>
      <x:c r="D63" s="12" t="str">
        <x:v>--</x:v>
      </x:c>
      <x:c r="E63" s="12" t="str">
        <x:v>--</x:v>
      </x:c>
      <x:c r="F63" s="12" t="str">
        <x:v>NaCl 0,9 % ; conc 1 mg/mL, 2 mg/mL et 25 mg/mL (6 g/240 mL) ; stab 24 h à 25°C et 32°C ; à 25 mg/mL : 7 j à 4°C</x:v>
      </x:c>
      <x:c r="G63" s="12" t="str">
        <x:v>--</x:v>
      </x:c>
      <x:c r="H63" s="12" t="str">
        <x:v>--</x:v>
      </x:c>
      <x:c r="I63" s="12" t="str">
        <x:v>NEOPUMP élastomère 24 h</x:v>
      </x:c>
      <x:c r="J63" s="12" t="str">
        <x:v>Donnée spécifique diffuseur élastomère.</x:v>
      </x:c>
      <x:c r="K63" s="12" t="str"/>
    </x:row>
    <x:row r="64" ht="18" customHeight="1">
      <x:c r="A64" s="12" t="str">
        <x:v>Céfépime</x:v>
      </x:c>
      <x:c r="B64" s="12" t="str">
        <x:v>NEOPUMP – données internes fabricant élastomère</x:v>
      </x:c>
      <x:c r="C64" s="12" t="str">
        <x:v>Diffuseur élastomère Easyflow/NEOPUMP ; données internes fabricant </x:v>
      </x:c>
      <x:c r="D64" s="12" t="str">
        <x:v>--</x:v>
      </x:c>
      <x:c r="E64" s="12" t="str">
        <x:v>--</x:v>
      </x:c>
      <x:c r="F64" s="12" t="str">
        <x:v>NaCl 0,9 % ; conc 20 mg/mL (2 g/100 mL) ; stab 7 j à 4°C ; 24 h à 25°C et 32°C</x:v>
      </x:c>
      <x:c r="G64" s="12" t="str">
        <x:v>--</x:v>
      </x:c>
      <x:c r="H64" s="12" t="str">
        <x:v>--</x:v>
      </x:c>
      <x:c r="I64" s="12" t="str">
        <x:v>NEOPUMP élastomère 24 h</x:v>
      </x:c>
      <x:c r="J64" s="12" t="str">
        <x:v>Donnée spécifique diffuseur élastomère.</x:v>
      </x:c>
      <x:c r="K64" s="12" t="str"/>
    </x:row>
    <x:row r="65" ht="18" customHeight="1">
      <x:c r="A65" s="12" t="str">
        <x:v>Céfotaxime</x:v>
      </x:c>
      <x:c r="B65" s="12" t="str">
        <x:v>NEOPUMP – données internes fabricant élastomère</x:v>
      </x:c>
      <x:c r="C65" s="12" t="str">
        <x:v>Diffuseur élastomère Easyflow/NEOPUMP ; données internes fabricant </x:v>
      </x:c>
      <x:c r="D65" s="12" t="str">
        <x:v>--</x:v>
      </x:c>
      <x:c r="E65" s="12" t="str">
        <x:v>--</x:v>
      </x:c>
      <x:c r="F65" s="12" t="str">
        <x:v>NaCl 0,9 % ; conc 10, 20 et 25 mg/mL ; stab 24 h à 25°C et 32°C ; 25 mg/mL = 6 g/240 mL</x:v>
      </x:c>
      <x:c r="G65" s="12" t="str">
        <x:v>--</x:v>
      </x:c>
      <x:c r="H65" s="12" t="str">
        <x:v>--</x:v>
      </x:c>
      <x:c r="I65" s="12" t="str">
        <x:v>NEOPUMP élastomère 24 h</x:v>
      </x:c>
      <x:c r="J65" s="12" t="str">
        <x:v>Donnée spécifique diffuseur élastomère.</x:v>
      </x:c>
      <x:c r="K65" s="12" t="str"/>
    </x:row>
    <x:row r="66" ht="18" customHeight="1">
      <x:c r="A66" s="12" t="str">
        <x:v>Ceftazidime</x:v>
      </x:c>
      <x:c r="B66" s="12" t="str">
        <x:v>NEOPUMP – données internes fabricant élastomère</x:v>
      </x:c>
      <x:c r="C66" s="12" t="str">
        <x:v>Diffuseur élastomère Easyflow/NEOPUMP ; données internes fabricant </x:v>
      </x:c>
      <x:c r="D66" s="12" t="str">
        <x:v>--</x:v>
      </x:c>
      <x:c r="E66" s="12" t="str">
        <x:v>--</x:v>
      </x:c>
      <x:c r="F66" s="12" t="str">
        <x:v>NaCl 0,9 % ; conc 20 mg/mL (2 g/100 mL) et 25 mg/mL (6 g/240 mL) ; stab 7 j à 4°C et 25°C ; 24 h à 32°C</x:v>
      </x:c>
      <x:c r="G66" s="12" t="str">
        <x:v>--</x:v>
      </x:c>
      <x:c r="H66" s="12" t="str">
        <x:v>--</x:v>
      </x:c>
      <x:c r="I66" s="12" t="str">
        <x:v>NEOPUMP élastomère 24 h à 32°C ; 7 j à 25°C selon fabricant</x:v>
      </x:c>
      <x:c r="J66" s="12" t="str">
        <x:v>À confronter à la vigilance clinique sur température et produits de dégradation.</x:v>
      </x:c>
      <x:c r="K66" s="12" t="str"/>
    </x:row>
    <x:row r="67" ht="18" customHeight="1">
      <x:c r="A67" s="12" t="str">
        <x:v>Ceftriaxone</x:v>
      </x:c>
      <x:c r="B67" s="12" t="str">
        <x:v>NEOPUMP – données internes fabricant élastomère</x:v>
      </x:c>
      <x:c r="C67" s="12" t="str">
        <x:v>Diffuseur élastomère Easyflow/NEOPUMP ; données internes fabricant </x:v>
      </x:c>
      <x:c r="D67" s="12" t="str">
        <x:v>--</x:v>
      </x:c>
      <x:c r="E67" s="12" t="str">
        <x:v>--</x:v>
      </x:c>
      <x:c r="F67" s="12" t="str">
        <x:v>NaCl 0,9 % ; conc 10 mg/mL (1 g/100 mL), 16 mg/mL (4 g/240 mL) et 20 mg/mL ; stab 14 j à 4°C ; 24 h à 25°C et 32°C</x:v>
      </x:c>
      <x:c r="G67" s="12" t="str">
        <x:v>--</x:v>
      </x:c>
      <x:c r="H67" s="12" t="str">
        <x:v>--</x:v>
      </x:c>
      <x:c r="I67" s="12" t="str">
        <x:v>NEOPUMP élastomère 24 h</x:v>
      </x:c>
      <x:c r="J67" s="12" t="str">
        <x:v>Donnée spécifique diffuseur élastomère.</x:v>
      </x:c>
      <x:c r="K67" s="12" t="str"/>
    </x:row>
    <x:row r="68" ht="18" customHeight="1">
      <x:c r="A68" s="12" t="str">
        <x:v>Cefuroxime</x:v>
      </x:c>
      <x:c r="B68" s="12" t="str">
        <x:v>NEOPUMP – données internes fabricant élastomère</x:v>
      </x:c>
      <x:c r="C68" s="12" t="str">
        <x:v>Diffuseur élastomère Easyflow/NEOPUMP ; données internes fabricant </x:v>
      </x:c>
      <x:c r="D68" s="12" t="str">
        <x:v>--</x:v>
      </x:c>
      <x:c r="E68" s="12" t="str">
        <x:v>--</x:v>
      </x:c>
      <x:c r="F68" s="12" t="str">
        <x:v>NaCl 0,9 % ; conc 15 mg/mL ; stab 7 j à 4°C ; pas de donnée 25/32°C dans le tableau</x:v>
      </x:c>
      <x:c r="G68" s="12" t="str">
        <x:v>--</x:v>
      </x:c>
      <x:c r="H68" s="12" t="str">
        <x:v>--</x:v>
      </x:c>
      <x:c r="I68" s="12" t="str">
        <x:v>NEOPUMP : donnée réfrigérée uniquement</x:v>
      </x:c>
      <x:c r="J68" s="12" t="str">
        <x:v>Pas de stabilité ambiante exploitable dans le tableau.</x:v>
      </x:c>
      <x:c r="K68" s="12" t="str"/>
    </x:row>
    <x:row r="69" ht="18" customHeight="1">
      <x:c r="A69" s="12" t="str">
        <x:v>Ciprofloxacine</x:v>
      </x:c>
      <x:c r="B69" s="12" t="str">
        <x:v>CH de Tourcoing 2017 + doc interne récent</x:v>
      </x:c>
      <x:c r="C69" s="12" t="str">
        <x:v>Discontinue recommandée ; prêt à l’emploi ; perfusion 60 min</x:v>
      </x:c>
      <x:c r="D69" s="12" t="str">
        <x:v>Prêt à l’emploi ; NaCl 0,9 % ; conc commerciale 1–2 mg/mL ; stab 24 h RT</x:v>
      </x:c>
      <x:c r="E69" s="12" t="str">
        <x:v>--</x:v>
      </x:c>
      <x:c r="F69" s="12" t="str">
        <x:v>--</x:v>
      </x:c>
      <x:c r="G69" s="12" t="str">
        <x:v>--</x:v>
      </x:c>
      <x:c r="H69" s="12" t="str">
        <x:v>--</x:v>
      </x:c>
      <x:c r="I69" s="12" t="str">
        <x:v>Discontinue</x:v>
      </x:c>
      <x:c r="J69" s="12" t="str">
        <x:v>Présentation prête à l’emploi la plus utilisée en pratique.</x:v>
      </x:c>
      <x:c r="K69" s="12" t="str"/>
    </x:row>
    <x:row r="70" ht="18" customHeight="1">
      <x:c r="A70" s="12" t="str">
        <x:v>Ciprofloxacine</x:v>
      </x:c>
      <x:c r="B70" s="12" t="str">
        <x:v>PubMed – littérature sélectionnée</x:v>
      </x:c>
      <x:c r="C70" s="12" t="str">
        <x:v>Perfusion prolongée / diffuseur élastomère</x:v>
      </x:c>
      <x:c r="D70" s="12" t="str">
        <x:v>--</x:v>
      </x:c>
      <x:c r="E70" s="12" t="str">
        <x:v>Seringue PP ; données limitées mais compatibles courte durée</x:v>
      </x:c>
      <x:c r="F70" s="12" t="str">
        <x:v>Diffuseur élastomère ; conc 1–2 mg/mL ; stabilité 24 h rapportée dans plusieurs études OPAT</x:v>
      </x:c>
      <x:c r="G70" s="12" t="str">
        <x:v>--</x:v>
      </x:c>
      <x:c r="H70" s="12" t="str">
        <x:v>--</x:v>
      </x:c>
      <x:c r="I70" s="12" t="str">
        <x:v>Diffuseur élastomère possible</x:v>
      </x:c>
      <x:c r="J70" s="12" t="str">
        <x:v>Attention photoprotection selon spécialité.</x:v>
      </x:c>
      <x:c r="K70" s="12" t="str">
        <x:v>https://pubmed.ncbi.nlm.nih.gov/20458106/</x:v>
      </x:c>
    </x:row>
    <x:row r="71" ht="18" customHeight="1">
      <x:c r="A71" s="12" t="str">
        <x:v>Ciprofloxacine</x:v>
      </x:c>
      <x:c r="B71" s="12" t="str">
        <x:v>NEOPUMP – données internes fabricant élastomère</x:v>
      </x:c>
      <x:c r="C71" s="12" t="str">
        <x:v>Diffuseur élastomère Easyflow/NEOPUMP ; données internes fabricant </x:v>
      </x:c>
      <x:c r="D71" s="12" t="str">
        <x:v>--</x:v>
      </x:c>
      <x:c r="E71" s="12" t="str">
        <x:v>--</x:v>
      </x:c>
      <x:c r="F71" s="12" t="str">
        <x:v>NaCl 0,9 % ; conc 1 mg/mL et 2 mg/mL : stab 24 h à 25°C et 32°C ; 200 mg/100 mL : stab 12 j à 4°C et 25°C</x:v>
      </x:c>
      <x:c r="G71" s="12" t="str">
        <x:v>--</x:v>
      </x:c>
      <x:c r="H71" s="12" t="str">
        <x:v>--</x:v>
      </x:c>
      <x:c r="I71" s="12" t="str">
        <x:v>NEOPUMP élastomère 24 h</x:v>
      </x:c>
      <x:c r="J71" s="12" t="str">
        <x:v>Donnée spécifique diffuseur élastomère.</x:v>
      </x:c>
      <x:c r="K71" s="12" t="str"/>
    </x:row>
    <x:row r="72" ht="18" customHeight="1">
      <x:c r="A72" s="12" t="str">
        <x:v>Clindamycine</x:v>
      </x:c>
      <x:c r="B72" s="12" t="str">
        <x:v>NEOPUMP – données internes fabricant élastomère</x:v>
      </x:c>
      <x:c r="C72" s="12" t="str">
        <x:v>Diffuseur élastomère Easyflow/NEOPUMP ; données internes fabricant </x:v>
      </x:c>
      <x:c r="D72" s="12" t="str">
        <x:v>--</x:v>
      </x:c>
      <x:c r="E72" s="12" t="str">
        <x:v>--</x:v>
      </x:c>
      <x:c r="F72" s="12" t="str">
        <x:v>NaCl 0,9 % ; conc 10 mg/mL ; stab 7 j à 4°C ; pas de donnée 25/32°C dans le tableau</x:v>
      </x:c>
      <x:c r="G72" s="12" t="str">
        <x:v>--</x:v>
      </x:c>
      <x:c r="H72" s="12" t="str">
        <x:v>--</x:v>
      </x:c>
      <x:c r="I72" s="12" t="str">
        <x:v>NEOPUMP : donnée réfrigérée uniquement</x:v>
      </x:c>
      <x:c r="J72" s="12" t="str">
        <x:v>Pas de stabilité ambiante exploitable dans le tableau.</x:v>
      </x:c>
      <x:c r="K72" s="12" t="str"/>
    </x:row>
    <x:row r="73" ht="18" customHeight="1">
      <x:c r="A73" s="12" t="str">
        <x:v>Colistine</x:v>
      </x:c>
      <x:c r="B73" s="12" t="str">
        <x:v>NEOPUMP – données internes fabricant élastomère</x:v>
      </x:c>
      <x:c r="C73" s="12" t="str">
        <x:v>Diffuseur élastomère Easyflow/NEOPUMP ; données internes fabricant </x:v>
      </x:c>
      <x:c r="D73" s="12" t="str">
        <x:v>--</x:v>
      </x:c>
      <x:c r="E73" s="12" t="str">
        <x:v>--</x:v>
      </x:c>
      <x:c r="F73" s="12" t="str">
        <x:v>NaCl 0,9 % ; colistiméthate sodique ; conc 0,015 MUI/mL ; stab 7 j à 4°C ; pas de donnée 25/32°C dans le tableau</x:v>
      </x:c>
      <x:c r="G73" s="12" t="str">
        <x:v>--</x:v>
      </x:c>
      <x:c r="H73" s="12" t="str">
        <x:v>--</x:v>
      </x:c>
      <x:c r="I73" s="12" t="str">
        <x:v>NEOPUMP : donnée réfrigérée uniquement</x:v>
      </x:c>
      <x:c r="J73" s="12" t="str">
        <x:v>Pas de stabilité ambiante exploitable dans le tableau.</x:v>
      </x:c>
      <x:c r="K73" s="12" t="str"/>
    </x:row>
    <x:row r="74" ht="18" customHeight="1">
      <x:c r="A74" s="12" t="str">
        <x:v>Daptomycine</x:v>
      </x:c>
      <x:c r="B74" s="12" t="str">
        <x:v>NEOPUMP – données internes fabricant élastomère</x:v>
      </x:c>
      <x:c r="C74" s="12" t="str">
        <x:v>Diffuseur élastomère Easyflow/NEOPUMP ; données internes fabricant </x:v>
      </x:c>
      <x:c r="D74" s="12" t="str">
        <x:v>--</x:v>
      </x:c>
      <x:c r="E74" s="12" t="str">
        <x:v>--</x:v>
      </x:c>
      <x:c r="F74" s="12" t="str">
        <x:v>NaCl 0,9 % ; conc 9 mg/mL ; stab 7 j à 4°C ; pas de donnée 25/32°C dans le tableau</x:v>
      </x:c>
      <x:c r="G74" s="12" t="str">
        <x:v>--</x:v>
      </x:c>
      <x:c r="H74" s="12" t="str">
        <x:v>--</x:v>
      </x:c>
      <x:c r="I74" s="12" t="str">
        <x:v>NEOPUMP : donnée réfrigérée uniquement</x:v>
      </x:c>
      <x:c r="J74" s="12" t="str">
        <x:v>Pas de stabilité ambiante exploitable dans le tableau.</x:v>
      </x:c>
      <x:c r="K74" s="12" t="str"/>
    </x:row>
    <x:row r="75" ht="18" customHeight="1">
      <x:c r="A75" s="12" t="str">
        <x:v>Ertapénem</x:v>
      </x:c>
      <x:c r="B75" s="12" t="str">
        <x:v>NEOPUMP – données internes fabricant élastomère</x:v>
      </x:c>
      <x:c r="C75" s="12" t="str">
        <x:v>Diffuseur élastomère Easyflow/NEOPUMP ; données internes fabricant </x:v>
      </x:c>
      <x:c r="D75" s="12" t="str">
        <x:v>--</x:v>
      </x:c>
      <x:c r="E75" s="12" t="str">
        <x:v>--</x:v>
      </x:c>
      <x:c r="F75" s="12" t="str">
        <x:v>NaCl 0,9 % ; conc 10 mg/mL (1 g/100 mL) : stab 7 j à 4°C, 12 h à 25°C et 32°C ; conc 20 mg/mL (2 g/100 mL) : stab 1 h à 25°C et 32°C</x:v>
      </x:c>
      <x:c r="G75" s="12" t="str">
        <x:v>--</x:v>
      </x:c>
      <x:c r="H75" s="12" t="str">
        <x:v>--</x:v>
      </x:c>
      <x:c r="I75" s="12" t="str">
        <x:v>NEOPUMP : 12 h à 10 mg/mL ; 1 h à 20 mg/mL</x:v>
      </x:c>
      <x:c r="J75" s="12" t="str">
        <x:v>Forte dépendance à la concentration.</x:v>
      </x:c>
      <x:c r="K75" s="12" t="str"/>
    </x:row>
    <x:row r="76" ht="18" customHeight="1">
      <x:c r="A76" s="12" t="str">
        <x:v>Fluconazole</x:v>
      </x:c>
      <x:c r="B76" s="12" t="str">
        <x:v>NEOPUMP – données internes fabricant élastomère</x:v>
      </x:c>
      <x:c r="C76" s="12" t="str">
        <x:v>Diffuseur élastomère Easyflow/NEOPUMP ; données internes fabricant </x:v>
      </x:c>
      <x:c r="D76" s="12" t="str">
        <x:v>--</x:v>
      </x:c>
      <x:c r="E76" s="12" t="str">
        <x:v>--</x:v>
      </x:c>
      <x:c r="F76" s="12" t="str">
        <x:v>NaCl 0,9 % ; conc 1 mg/mL et 2 mg/mL ; stab 24 h à 25°C et 32°C</x:v>
      </x:c>
      <x:c r="G76" s="12" t="str">
        <x:v>--</x:v>
      </x:c>
      <x:c r="H76" s="12" t="str">
        <x:v>--</x:v>
      </x:c>
      <x:c r="I76" s="12" t="str">
        <x:v>NEOPUMP élastomère 24 h</x:v>
      </x:c>
      <x:c r="J76" s="12" t="str">
        <x:v>Donnée spécifique diffuseur élastomère.</x:v>
      </x:c>
      <x:c r="K76" s="12" t="str"/>
    </x:row>
    <x:row r="77" ht="18" customHeight="1">
      <x:c r="A77" s="12" t="str">
        <x:v>Fosfomycine IV</x:v>
      </x:c>
      <x:c r="B77" s="12" t="str">
        <x:v>NEOPUMP – données internes fabricant élastomère</x:v>
      </x:c>
      <x:c r="C77" s="12" t="str">
        <x:v>Diffuseur élastomère Easyflow/NEOPUMP ; données internes fabricant </x:v>
      </x:c>
      <x:c r="D77" s="12" t="str">
        <x:v>--</x:v>
      </x:c>
      <x:c r="E77" s="12" t="str">
        <x:v>--</x:v>
      </x:c>
      <x:c r="F77" s="12" t="str">
        <x:v>NaCl 0,9 % ; conc 2 mg/mL et 8 mg/mL : stab 24 h à 25°C et 32°C ; conc 30 mg/mL : stab 5 j à 25°C</x:v>
      </x:c>
      <x:c r="G77" s="12" t="str">
        <x:v>--</x:v>
      </x:c>
      <x:c r="H77" s="12" t="str">
        <x:v>--</x:v>
      </x:c>
      <x:c r="I77" s="12" t="str">
        <x:v>NEOPUMP élastomère 24 h</x:v>
      </x:c>
      <x:c r="J77" s="12" t="str">
        <x:v>Donnée spécifique diffuseur élastomère.</x:v>
      </x:c>
      <x:c r="K77" s="12" t="str"/>
    </x:row>
    <x:row r="78" ht="18" customHeight="1">
      <x:c r="A78" s="12" t="str">
        <x:v>Gentamicine</x:v>
      </x:c>
      <x:c r="B78" s="12" t="str">
        <x:v>NEOPUMP – données internes fabricant élastomère</x:v>
      </x:c>
      <x:c r="C78" s="12" t="str">
        <x:v>Diffuseur élastomère Easyflow/NEOPUMP ; données internes fabricant </x:v>
      </x:c>
      <x:c r="D78" s="12" t="str">
        <x:v>--</x:v>
      </x:c>
      <x:c r="E78" s="12" t="str">
        <x:v>--</x:v>
      </x:c>
      <x:c r="F78" s="12" t="str">
        <x:v>NaCl 0,9 % ; conc 5 mg/mL et 8 mg/mL ; stab 24 h à 25°C et 32°C</x:v>
      </x:c>
      <x:c r="G78" s="12" t="str">
        <x:v>--</x:v>
      </x:c>
      <x:c r="H78" s="12" t="str">
        <x:v>--</x:v>
      </x:c>
      <x:c r="I78" s="12" t="str">
        <x:v>NEOPUMP élastomère 24 h physicochimique</x:v>
      </x:c>
      <x:c r="J78" s="12" t="str">
        <x:v>Stabilité physicochimique ≠ recommandation clinique de perfusion continue pour aminoside.</x:v>
      </x:c>
      <x:c r="K78" s="12" t="str"/>
    </x:row>
    <x:row r="79" ht="18" customHeight="1">
      <x:c r="A79" s="12" t="str">
        <x:v>Imipénème/cilastatine</x:v>
      </x:c>
      <x:c r="B79" s="12" t="str">
        <x:v>NEOPUMP – données internes fabricant élastomère</x:v>
      </x:c>
      <x:c r="C79" s="12" t="str">
        <x:v>Diffuseur élastomère Easyflow/NEOPUMP ; données internes fabricant </x:v>
      </x:c>
      <x:c r="D79" s="12" t="str">
        <x:v>--</x:v>
      </x:c>
      <x:c r="E79" s="12" t="str">
        <x:v>--</x:v>
      </x:c>
      <x:c r="F79" s="12" t="str">
        <x:v>NaCl 0,9 % ; conc 5+5 mg/mL et 8+8 mg/mL ; stab 1 h à 25°C et 32°C</x:v>
      </x:c>
      <x:c r="G79" s="12" t="str">
        <x:v>--</x:v>
      </x:c>
      <x:c r="H79" s="12" t="str">
        <x:v>--</x:v>
      </x:c>
      <x:c r="I79" s="12" t="str">
        <x:v>NEOPUMP : stabilité très courte</x:v>
      </x:c>
      <x:c r="J79" s="12" t="str">
        <x:v>Pas adapté à une perfusion continue longue sans changement très fréquent.</x:v>
      </x:c>
      <x:c r="K79" s="12" t="str"/>
    </x:row>
    <x:row r="80" ht="18" customHeight="1">
      <x:c r="A80" s="12" t="str">
        <x:v>Méropénem</x:v>
      </x:c>
      <x:c r="B80" s="12" t="str">
        <x:v>NEOPUMP – données internes fabricant élastomère</x:v>
      </x:c>
      <x:c r="C80" s="12" t="str">
        <x:v>Diffuseur élastomère Easyflow/NEOPUMP ; données internes fabricant </x:v>
      </x:c>
      <x:c r="D80" s="12" t="str">
        <x:v>--</x:v>
      </x:c>
      <x:c r="E80" s="12" t="str">
        <x:v>--</x:v>
      </x:c>
      <x:c r="F80" s="12" t="str">
        <x:v>NaCl 0,9 % ; conc 20 mg/mL : stab 7 j à 4°C, 12 h à 25°C, 1 h à 32°C ; conc 25 mg/mL : stab 12 h à 25°C, 1 h à 32°C ; conc 10 mg/mL : stab 4 j à 4°C, 24 h à 25°C et 32°C ; conc 4 mg/mL : stab 7 j à 4°C</x:v>
      </x:c>
      <x:c r="G80" s="12" t="str">
        <x:v>--</x:v>
      </x:c>
      <x:c r="H80" s="12" t="str">
        <x:v>--</x:v>
      </x:c>
      <x:c r="I80" s="12" t="str">
        <x:v>NEOPUMP : très concentration-dépendant</x:v>
      </x:c>
      <x:c r="J80" s="12" t="str">
        <x:v>La stabilité 24 h à 32°C n’est rapportée que pour 10 mg/mL dans le tableau.</x:v>
      </x:c>
      <x:c r="K80" s="12" t="str"/>
    </x:row>
    <x:row r="81" ht="18" customHeight="1">
      <x:c r="A81" s="12" t="str">
        <x:v>Oxacilline</x:v>
      </x:c>
      <x:c r="B81" s="12" t="str">
        <x:v>NEOPUMP – données internes fabricant élastomère</x:v>
      </x:c>
      <x:c r="C81" s="12" t="str">
        <x:v>Diffuseur élastomère Easyflow/NEOPUMP ; données internes fabricant </x:v>
      </x:c>
      <x:c r="D81" s="12" t="str">
        <x:v>--</x:v>
      </x:c>
      <x:c r="E81" s="12" t="str">
        <x:v>--</x:v>
      </x:c>
      <x:c r="F81" s="12" t="str">
        <x:v>NaCl 0,9 % ; conc 5 mg/mL : stab 24 h à 25°C et 32°C ; conc 8 mg/mL : stab 12 h à 25°C et 32°C</x:v>
      </x:c>
      <x:c r="G81" s="12" t="str">
        <x:v>--</x:v>
      </x:c>
      <x:c r="H81" s="12" t="str">
        <x:v>--</x:v>
      </x:c>
      <x:c r="I81" s="12" t="str">
        <x:v>NEOPUMP : 24 h à 5 mg/mL ; 12 h à 8 mg/mL</x:v>
      </x:c>
      <x:c r="J81" s="12" t="str">
        <x:v>Donnée spécifique diffuseur élastomère.</x:v>
      </x:c>
      <x:c r="K81" s="12" t="str"/>
    </x:row>
    <x:row r="82" ht="18" customHeight="1">
      <x:c r="A82" s="12" t="str">
        <x:v>Pipéracilline</x:v>
      </x:c>
      <x:c r="B82" s="12" t="str">
        <x:v>NEOPUMP – données internes fabricant élastomère</x:v>
      </x:c>
      <x:c r="C82" s="12" t="str">
        <x:v>Diffuseur élastomère Easyflow/NEOPUMP ; données internes fabricant </x:v>
      </x:c>
      <x:c r="D82" s="12" t="str">
        <x:v>--</x:v>
      </x:c>
      <x:c r="E82" s="12" t="str">
        <x:v>--</x:v>
      </x:c>
      <x:c r="F82" s="12" t="str">
        <x:v>NaCl 0,9 % ; conc 10 mg/mL et 33 mg/mL ; stab 24 h à 25°C et 32°C</x:v>
      </x:c>
      <x:c r="G82" s="12" t="str">
        <x:v>--</x:v>
      </x:c>
      <x:c r="H82" s="12" t="str">
        <x:v>--</x:v>
      </x:c>
      <x:c r="I82" s="12" t="str">
        <x:v>NEOPUMP élastomère 24 h</x:v>
      </x:c>
      <x:c r="J82" s="12" t="str">
        <x:v>Donnée spécifique diffuseur élastomère.</x:v>
      </x:c>
      <x:c r="K82" s="12" t="str"/>
    </x:row>
    <x:row r="83" ht="18" customHeight="1">
      <x:c r="A83" s="12" t="str">
        <x:v>Pipéracilline/tazobactam</x:v>
      </x:c>
      <x:c r="B83" s="12" t="str">
        <x:v>NEOPUMP – données internes fabricant élastomère</x:v>
      </x:c>
      <x:c r="C83" s="12" t="str">
        <x:v>Diffuseur élastomère Easyflow/NEOPUMP ; données internes fabricant </x:v>
      </x:c>
      <x:c r="D83" s="12" t="str">
        <x:v>--</x:v>
      </x:c>
      <x:c r="E83" s="12" t="str">
        <x:v>--</x:v>
      </x:c>
      <x:c r="F83" s="12" t="str">
        <x:v>NaCl 0,9 % ; conc 45 mg/mL (4 g+0,5 g/100 mL) et 80 mg/mL (16 g+2 g/240 mL) : stab 24 h à 25°C et 32°C ; conc 40+5 mg/mL : stab 7 j à 4°C et 25°C</x:v>
      </x:c>
      <x:c r="G83" s="12" t="str">
        <x:v>--</x:v>
      </x:c>
      <x:c r="H83" s="12" t="str">
        <x:v>--</x:v>
      </x:c>
      <x:c r="I83" s="12" t="str">
        <x:v>NEOPUMP élastomère 24 h</x:v>
      </x:c>
      <x:c r="J83" s="12" t="str">
        <x:v>Donnée spécifique diffuseur élastomère.</x:v>
      </x:c>
      <x:c r="K83" s="12" t="str"/>
    </x:row>
    <x:row r="84" ht="18" customHeight="1">
      <x:c r="A84" s="12" t="str">
        <x:v>Rifampicine IV</x:v>
      </x:c>
      <x:c r="B84" s="12" t="str">
        <x:v>NEOPUMP – données internes fabricant élastomère</x:v>
      </x:c>
      <x:c r="C84" s="12" t="str">
        <x:v>Diffuseur élastomère Easyflow/NEOPUMP ; données internes fabricant </x:v>
      </x:c>
      <x:c r="D84" s="12" t="str">
        <x:v>--</x:v>
      </x:c>
      <x:c r="E84" s="12" t="str">
        <x:v>--</x:v>
      </x:c>
      <x:c r="F84" s="12" t="str">
        <x:v>NaCl 0,9 % ; conc 0,5 mg/mL : stab 24 h à 25°C et 32°C ; conc 3 mg/mL : stab 6 h à 25°C et 32°C</x:v>
      </x:c>
      <x:c r="G84" s="12" t="str">
        <x:v>--</x:v>
      </x:c>
      <x:c r="H84" s="12" t="str">
        <x:v>--</x:v>
      </x:c>
      <x:c r="I84" s="12" t="str">
        <x:v>NEOPUMP : dépend concentration</x:v>
      </x:c>
      <x:c r="J84" s="12" t="str">
        <x:v>Attention : autres sources indiquent incompatibilité NaCl pour la préparation usuelle ; donnée NEOPUMP à vérifier avant transposition.</x:v>
      </x:c>
      <x:c r="K84" s="12" t="str"/>
    </x:row>
    <x:row r="85" ht="18" customHeight="1">
      <x:c r="A85" s="12" t="str">
        <x:v>Teicoplanine</x:v>
      </x:c>
      <x:c r="B85" s="12" t="str">
        <x:v>NEOPUMP – données internes fabricant élastomère</x:v>
      </x:c>
      <x:c r="C85" s="12" t="str">
        <x:v>Diffuseur élastomère Easyflow/NEOPUMP ; données internes fabricant </x:v>
      </x:c>
      <x:c r="D85" s="12" t="str">
        <x:v>--</x:v>
      </x:c>
      <x:c r="E85" s="12" t="str">
        <x:v>--</x:v>
      </x:c>
      <x:c r="F85" s="12" t="str">
        <x:v>NaCl 0,9 % ; conc 4 mg/mL ; stab 24 h à 4°C ; pas de donnée 25/32°C dans le tableau</x:v>
      </x:c>
      <x:c r="G85" s="12" t="str">
        <x:v>--</x:v>
      </x:c>
      <x:c r="H85" s="12" t="str">
        <x:v>--</x:v>
      </x:c>
      <x:c r="I85" s="12" t="str">
        <x:v>NEOPUMP : donnée réfrigérée uniquement</x:v>
      </x:c>
      <x:c r="J85" s="12" t="str">
        <x:v>Pas de stabilité ambiante exploitable dans le tableau.</x:v>
      </x:c>
      <x:c r="K85" s="12" t="str"/>
    </x:row>
    <x:row r="86" ht="18" customHeight="1">
      <x:c r="A86" s="12" t="str">
        <x:v>Tobramycine</x:v>
      </x:c>
      <x:c r="B86" s="12" t="str">
        <x:v>NEOPUMP – données internes fabricant élastomère</x:v>
      </x:c>
      <x:c r="C86" s="12" t="str">
        <x:v>Diffuseur élastomère Easyflow/NEOPUMP ; données internes fabricant </x:v>
      </x:c>
      <x:c r="D86" s="12" t="str">
        <x:v>--</x:v>
      </x:c>
      <x:c r="E86" s="12" t="str">
        <x:v>--</x:v>
      </x:c>
      <x:c r="F86" s="12" t="str">
        <x:v>NaCl 0,9 % ; conc 1 mg/mL et 7,5 mg/mL : stab 24 h à 25°C et 32°C ; conc 4 mg/mL : stab 10 j à 4°C</x:v>
      </x:c>
      <x:c r="G86" s="12" t="str">
        <x:v>--</x:v>
      </x:c>
      <x:c r="H86" s="12" t="str">
        <x:v>--</x:v>
      </x:c>
      <x:c r="I86" s="12" t="str">
        <x:v>NEOPUMP élastomère 24 h physicochimique</x:v>
      </x:c>
      <x:c r="J86" s="12" t="str">
        <x:v>Stabilité physicochimique ≠ recommandation clinique de perfusion continue pour aminoside.</x:v>
      </x:c>
      <x:c r="K86" s="12" t="str"/>
    </x:row>
    <x:row r="87" ht="18" customHeight="1">
      <x:c r="A87" s="12" t="str">
        <x:v>Vancomycine</x:v>
      </x:c>
      <x:c r="B87" s="12" t="str">
        <x:v>NEOPUMP – données internes fabricant élastomère</x:v>
      </x:c>
      <x:c r="C87" s="12" t="str">
        <x:v>Diffuseur élastomère Easyflow/NEOPUMP ; données internes fabricant </x:v>
      </x:c>
      <x:c r="D87" s="12" t="str">
        <x:v>--</x:v>
      </x:c>
      <x:c r="E87" s="12" t="str">
        <x:v>--</x:v>
      </x:c>
      <x:c r="F87" s="12" t="str">
        <x:v>NaCl 0,9 % ; conc 5 mg/mL et 8 mg/mL : stab 24 h à 25°C et 32°C ; conc 4 mg/mL : stab 14 j à 4°C et 25°C</x:v>
      </x:c>
      <x:c r="G87" s="12" t="str">
        <x:v>--</x:v>
      </x:c>
      <x:c r="H87" s="12" t="str">
        <x:v>--</x:v>
      </x:c>
      <x:c r="I87" s="12" t="str">
        <x:v>NEOPUMP élastomère 24 h</x:v>
      </x:c>
      <x:c r="J87" s="12" t="str">
        <x:v>Donnée spécifique diffuseur élastomère.</x:v>
      </x:c>
      <x:c r="K87" s="12" t="str"/>
    </x:row>
    <x:row r="88" ht="18" customHeight="1">
      <x:c r="A88" s="12" t="str">
        <x:v>Ciprofloxacine</x:v>
      </x:c>
      <x:c r="B88" s="12" t="str">
        <x:v>Micrel – données internes du laboratoire</x:v>
      </x:c>
      <x:c r="C88" s="12" t="str">
        <x:v>Pompe Rythmic PVC</x:v>
      </x:c>
      <x:c r="D88" s="12" t="str">
        <x:v>--</x:v>
      </x:c>
      <x:c r="E88" s="12" t="str">
        <x:v>--</x:v>
      </x:c>
      <x:c r="F88" s="12" t="str">
        <x:v>--</x:v>
      </x:c>
      <x:c r="G88" s="12" t="str">
        <x:v>--</x:v>
      </x:c>
      <x:c r="H88" s="12" t="str">
        <x:v>NaCl 0,9 % ou G5 ; conc 1–2 mg/mL ; stab 30 j à 2–8°C abri lumière et 30 j à 21–24°C lumière ; conc 1,5 mg/mL : stab 48 h à 25°C</x:v>
      </x:c>
      <x:c r="I88" s="12" t="str">
        <x:v>Micrel possible selon conditions</x:v>
      </x:c>
      <x:c r="J88" s="12" t="str">
        <x:v>Donnée spécifique consommables Micrel/Rythmic.</x:v>
      </x:c>
      <x:c r="K88" s="12" t="str"/>
    </x:row>
    <x:row r="89" ht="18" customHeight="1">
      <x:c r="A89" s="12" t="str">
        <x:v>Cefuroxime</x:v>
      </x:c>
      <x:c r="B89" s="12" t="str">
        <x:v>Micrel – données internes du laboratoire</x:v>
      </x:c>
      <x:c r="C89" s="12" t="str">
        <x:v>Pompe Rythmic PVC</x:v>
      </x:c>
      <x:c r="D89" s="12" t="str">
        <x:v>--</x:v>
      </x:c>
      <x:c r="E89" s="12" t="str">
        <x:v>--</x:v>
      </x:c>
      <x:c r="F89" s="12" t="str">
        <x:v>--</x:v>
      </x:c>
      <x:c r="G89" s="12" t="str">
        <x:v>--</x:v>
      </x:c>
      <x:c r="H89" s="12" t="str">
        <x:v>NaCl 0,9 % ou G5 ; conc 5–10 mg/mL : stab 24 h à 25°C et 30 j à 5°C ; G5 conc 15 mg/mL : stab 11–15 j à 4°C selon conditions</x:v>
      </x:c>
      <x:c r="I89" s="12" t="str">
        <x:v>Micrel possible selon conditions</x:v>
      </x:c>
      <x:c r="J89" s="12" t="str">
        <x:v>Donnée spécifique consommables Micrel/Rythmic.</x:v>
      </x:c>
      <x:c r="K89" s="12" t="str"/>
    </x:row>
    <x:row r="90" ht="18" customHeight="1">
      <x:c r="A90" s="12" t="str">
        <x:v>Oxacilline</x:v>
      </x:c>
      <x:c r="B90" s="12" t="str">
        <x:v>Micrel – données internes du laboratoire</x:v>
      </x:c>
      <x:c r="C90" s="12" t="str">
        <x:v>Pompe Rythmic PVC</x:v>
      </x:c>
      <x:c r="D90" s="12" t="str">
        <x:v>--</x:v>
      </x:c>
      <x:c r="E90" s="12" t="str">
        <x:v>--</x:v>
      </x:c>
      <x:c r="F90" s="12" t="str">
        <x:v>--</x:v>
      </x:c>
      <x:c r="G90" s="12" t="str">
        <x:v>--</x:v>
      </x:c>
      <x:c r="H90" s="12" t="str">
        <x:v>NaCl 0,9 % ; conc 10–80 mg/mL ; stab FT 10 j ; RT 24 h</x:v>
      </x:c>
      <x:c r="I90" s="12" t="str">
        <x:v>Micrel possible selon conditions</x:v>
      </x:c>
      <x:c r="J90" s="12" t="str">
        <x:v>Donnée spécifique consommables Micrel/Rythmic.</x:v>
      </x:c>
      <x:c r="K90" s="12" t="str"/>
    </x:row>
    <x:row r="91" ht="18" customHeight="1">
      <x:c r="A91" s="12" t="str">
        <x:v>Pipéracilline</x:v>
      </x:c>
      <x:c r="B91" s="12" t="str">
        <x:v>Micrel – données internes du laboratoire</x:v>
      </x:c>
      <x:c r="C91" s="12" t="str">
        <x:v>Pompe Rythmic PVC</x:v>
      </x:c>
      <x:c r="D91" s="12" t="str">
        <x:v>--</x:v>
      </x:c>
      <x:c r="E91" s="12" t="str">
        <x:v>--</x:v>
      </x:c>
      <x:c r="F91" s="12" t="str">
        <x:v>--</x:v>
      </x:c>
      <x:c r="G91" s="12" t="str">
        <x:v>--</x:v>
      </x:c>
      <x:c r="H91" s="12" t="str">
        <x:v>NaCl 0,9 % ; conc 10–80 mg/mL ; stab FT 14 j ; RT 24 h</x:v>
      </x:c>
      <x:c r="I91" s="12" t="str">
        <x:v>Micrel possible selon conditions</x:v>
      </x:c>
      <x:c r="J91" s="12" t="str">
        <x:v>Donnée spécifique consommables Micrel/Rythmic.</x:v>
      </x:c>
      <x:c r="K91" s="12" t="str"/>
    </x:row>
    <x:row r="92" ht="18" customHeight="1">
      <x:c r="A92" s="12" t="str">
        <x:v>Imipénème/cilastatine</x:v>
      </x:c>
      <x:c r="B92" s="12" t="str">
        <x:v>Micrel – données internes du laboratoire</x:v>
      </x:c>
      <x:c r="C92" s="12" t="str">
        <x:v>Pompe Rythmic PVC</x:v>
      </x:c>
      <x:c r="D92" s="12" t="str">
        <x:v>--</x:v>
      </x:c>
      <x:c r="E92" s="12" t="str">
        <x:v>--</x:v>
      </x:c>
      <x:c r="F92" s="12" t="str">
        <x:v>--</x:v>
      </x:c>
      <x:c r="G92" s="12" t="str">
        <x:v>--</x:v>
      </x:c>
      <x:c r="H92" s="12" t="str">
        <x:v>NaCl 0,9 % ; conc 5 + 5 mg/mL ; stab FT 24 h ; RT 9 h</x:v>
      </x:c>
      <x:c r="I92" s="12" t="str">
        <x:v>Micrel : stabilité courte</x:v>
      </x:c>
      <x:c r="J92" s="12" t="str">
        <x:v>Donnée spécifique consommables Micrel/Rythmic.</x:v>
      </x:c>
      <x:c r="K92" s="12" t="str"/>
    </x:row>
    <x:row r="93" ht="18" customHeight="1">
      <x:c r="A93" s="12" t="str">
        <x:v>Ticarcilline</x:v>
      </x:c>
      <x:c r="B93" s="12" t="str">
        <x:v>Micrel – données internes du laboratoire</x:v>
      </x:c>
      <x:c r="C93" s="12" t="str">
        <x:v>Pompe Rythmic PVC</x:v>
      </x:c>
      <x:c r="D93" s="12" t="str">
        <x:v>--</x:v>
      </x:c>
      <x:c r="E93" s="12" t="str">
        <x:v>--</x:v>
      </x:c>
      <x:c r="F93" s="12" t="str">
        <x:v>--</x:v>
      </x:c>
      <x:c r="G93" s="12" t="str">
        <x:v>--</x:v>
      </x:c>
      <x:c r="H93" s="12" t="str">
        <x:v>NaCl 0,9 % ; conc 5–50 mg/mL ; stab FT 15 j ; RT 24 h</x:v>
      </x:c>
      <x:c r="I93" s="12" t="str">
        <x:v>Micrel possible selon conditions</x:v>
      </x:c>
      <x:c r="J93" s="12" t="str">
        <x:v>Donnée spécifique consommables Micrel/Rythmic.</x:v>
      </x:c>
      <x:c r="K93" s="12" t="str"/>
    </x:row>
    <x:row r="94" ht="18" customHeight="1">
      <x:c r="A94" s="12" t="str">
        <x:v>Ticarcilline/acide clavulanique</x:v>
      </x:c>
      <x:c r="B94" s="12" t="str">
        <x:v>Micrel – données internes du laboratoire</x:v>
      </x:c>
      <x:c r="C94" s="12" t="str">
        <x:v>Pompe Rythmic PVC</x:v>
      </x:c>
      <x:c r="D94" s="12" t="str">
        <x:v>--</x:v>
      </x:c>
      <x:c r="E94" s="12" t="str">
        <x:v>--</x:v>
      </x:c>
      <x:c r="F94" s="12" t="str">
        <x:v>--</x:v>
      </x:c>
      <x:c r="G94" s="12" t="str">
        <x:v>--</x:v>
      </x:c>
      <x:c r="H94" s="12" t="str">
        <x:v>NaCl 0,9 % ; conc ticarcilline 10 mg/mL + clavulanate 150 mg/mL selon tableau ; stab FT 10 j ; RT 20 h</x:v>
      </x:c>
      <x:c r="I94" s="12" t="str">
        <x:v>Micrel possible selon conditions</x:v>
      </x:c>
      <x:c r="J94" s="12" t="str">
        <x:v>Vérifier l’expression exacte des concentrations avant usage clinique.</x:v>
      </x:c>
      <x:c r="K94" s="12" t="str"/>
    </x:row>
    <x:row r="95" ht="18" customHeight="1">
      <x:c r="A95" s="12" t="str">
        <x:v>Tobramycine</x:v>
      </x:c>
      <x:c r="B95" s="12" t="str">
        <x:v>Micrel – données internes du laboratoire</x:v>
      </x:c>
      <x:c r="C95" s="12" t="str">
        <x:v>Pompe Rythmic PVC</x:v>
      </x:c>
      <x:c r="D95" s="12" t="str">
        <x:v>--</x:v>
      </x:c>
      <x:c r="E95" s="12" t="str">
        <x:v>--</x:v>
      </x:c>
      <x:c r="F95" s="12" t="str">
        <x:v>--</x:v>
      </x:c>
      <x:c r="G95" s="12" t="str">
        <x:v>--</x:v>
      </x:c>
      <x:c r="H95" s="12" t="str">
        <x:v>NaCl 0,9 % ; conc 0,5–5 mg/mL ; stab FT 7 j ; RT 48 h</x:v>
      </x:c>
      <x:c r="I95" s="12" t="str">
        <x:v>Micrel 48 h physicochimique</x:v>
      </x:c>
      <x:c r="J95" s="12" t="str">
        <x:v>Stabilité physicochimique ≠ recommandation clinique de perfusion continue pour aminoside.</x:v>
      </x:c>
      <x:c r="K95" s="12" t="str"/>
    </x:row>
    <x:row r="96" ht="18" customHeight="1">
      <x:c r="A96" s="12" t="str">
        <x:v>Vancomycine</x:v>
      </x:c>
      <x:c r="B96" s="12" t="str">
        <x:v>Micrel – données internes du laboratoire</x:v>
      </x:c>
      <x:c r="C96" s="12" t="str">
        <x:v>Pompe Rythmic PVC</x:v>
      </x:c>
      <x:c r="D96" s="12" t="str">
        <x:v>--</x:v>
      </x:c>
      <x:c r="E96" s="12" t="str">
        <x:v>--</x:v>
      </x:c>
      <x:c r="F96" s="12" t="str">
        <x:v>--</x:v>
      </x:c>
      <x:c r="G96" s="12" t="str">
        <x:v>--</x:v>
      </x:c>
      <x:c r="H96" s="12" t="str">
        <x:v>NaCl 0,9 % ; conc 10–20 mg/mL ; stab FT 10 j ; RT 24 h</x:v>
      </x:c>
      <x:c r="I96" s="12" t="str">
        <x:v>Micrel possible selon conditions</x:v>
      </x:c>
      <x:c r="J96" s="12" t="str">
        <x:v>Donnée spécifique consommables Micrel/Rythmic.</x:v>
      </x:c>
      <x:c r="K96" s="12" t="str"/>
    </x:row>
    <x:row r="97" ht="18" customHeight="1">
      <x:c r="A97" s="12" t="str">
        <x:v>Dalbavancine</x:v>
      </x:c>
      <x:c r="B97" s="12" t="str">
        <x:v>CH de Tourcoing 2017</x:v>
      </x:c>
      <x:c r="C97" s="12" t="str">
        <x:v>Discontinue recommandée ; perfusion lente ≥60 min</x:v>
      </x:c>
      <x:c r="D97" s="12" t="str">
        <x:v>G5 exclusivement ; conc finale 1–5 mg/mL ; stab reconstitué 24 h &lt;25°C ; stab dilué 12 h &lt;25°C ; NaCl incompatible</x:v>
      </x:c>
      <x:c r="E97" s="12" t="str">
        <x:v>--</x:v>
      </x:c>
      <x:c r="F97" s="12" t="str">
        <x:v>--</x:v>
      </x:c>
      <x:c r="G97" s="12" t="str">
        <x:v>--</x:v>
      </x:c>
      <x:c r="H97" s="12" t="str">
        <x:v>--</x:v>
      </x:c>
      <x:c r="I97" s="12" t="str">
        <x:v>Discontinue</x:v>
      </x:c>
      <x:c r="J97" s="12" t="str">
        <x:v>Risque de précipitation avec NaCl.</x:v>
      </x:c>
      <x:c r="K97" s="12" t="str"/>
    </x:row>
    <x:row r="98" ht="18" customHeight="1">
      <x:c r="A98" s="12" t="str">
        <x:v>Tedizolide</x:v>
      </x:c>
      <x:c r="B98" s="12" t="str">
        <x:v>CH de Tourcoing 2017</x:v>
      </x:c>
      <x:c r="C98" s="12" t="str">
        <x:v>Discontinue recommandée ; perfusion IV</x:v>
      </x:c>
      <x:c r="D98" s="12" t="str">
        <x:v>NaCl 0,9 % ; dilution 250 mL ; stab 4 h RT ; 24 h entre 2–8°C</x:v>
      </x:c>
      <x:c r="E98" s="12" t="str">
        <x:v>--</x:v>
      </x:c>
      <x:c r="F98" s="12" t="str">
        <x:v>--</x:v>
      </x:c>
      <x:c r="G98" s="12" t="str">
        <x:v>--</x:v>
      </x:c>
      <x:c r="H98" s="12" t="str">
        <x:v>--</x:v>
      </x:c>
      <x:c r="I98" s="12" t="str">
        <x:v>Discontinue</x:v>
      </x:c>
      <x:c r="J98" s="12" t="str">
        <x:v>Utilisation immédiate préférable selon source.</x:v>
      </x:c>
      <x:c r="K98" s="12" t="str"/>
    </x:row>
    <x:row r="99" ht="18" customHeight="1">
      <x:c r="A99" s="12" t="str">
        <x:v>Isavuconazole</x:v>
      </x:c>
      <x:c r="B99" s="12" t="str">
        <x:v>CH de Tourcoing 2017</x:v>
      </x:c>
      <x:c r="C99" s="12" t="str">
        <x:v>Discontinue recommandée ; perfusion ≥60 min ; filtre en ligne 0,2–1,2 µm</x:v>
      </x:c>
      <x:c r="D99" s="12" t="str">
        <x:v>NaCl 0,9 % ou G5 ; conc 0,8 mg/mL ; stab 6 h RT ; 24 h entre 2–8°C</x:v>
      </x:c>
      <x:c r="E99" s="12" t="str">
        <x:v>--</x:v>
      </x:c>
      <x:c r="F99" s="12" t="str">
        <x:v>--</x:v>
      </x:c>
      <x:c r="G99" s="12" t="str">
        <x:v>--</x:v>
      </x:c>
      <x:c r="H99" s="12" t="str">
        <x:v>--</x:v>
      </x:c>
      <x:c r="I99" s="12" t="str">
        <x:v>Discontinue</x:v>
      </x:c>
      <x:c r="J99" s="12" t="str">
        <x:v>Ne pas agiter ; filtre sur ligne de perfusion.</x:v>
      </x:c>
      <x:c r="K99" s="12" t="str"/>
    </x:row>
    <x:row r="100" ht="18" customHeight="1">
      <x:c r="A100" s="12" t="str">
        <x:v>Micafungine</x:v>
      </x:c>
      <x:c r="B100" s="12" t="str">
        <x:v>CH de Tourcoing 2017</x:v>
      </x:c>
      <x:c r="C100" s="12" t="str">
        <x:v>Discontinue recommandée ; perfusion 60 min ; abri lumière</x:v>
      </x:c>
      <x:c r="D100" s="12" t="str">
        <x:v>NaCl 0,9 % ou G5 ; poche 100 mL ; stab 24 h à 25°C à l’abri lumière selon source</x:v>
      </x:c>
      <x:c r="E100" s="12" t="str">
        <x:v>--</x:v>
      </x:c>
      <x:c r="F100" s="12" t="str">
        <x:v>--</x:v>
      </x:c>
      <x:c r="G100" s="12" t="str">
        <x:v>--</x:v>
      </x:c>
      <x:c r="H100" s="12" t="str">
        <x:v>--</x:v>
      </x:c>
      <x:c r="I100" s="12" t="str">
        <x:v>Discontinue</x:v>
      </x:c>
      <x:c r="J100" s="12" t="str">
        <x:v>Ne pas agiter ; limiter la formation de mousse.</x:v>
      </x:c>
      <x:c r="K100" s="12" t="str"/>
    </x:row>
  </x:sheetData>
  <x:pageMargins left="0.7" right="0.7" top="0.75" bottom="0.75" header="0.3" footer="0.3"/>
  <x:tableParts count="1">
    <x:tablePart xmlns:r="http://schemas.openxmlformats.org/officeDocument/2006/relationships" r:id="Rc5e4d3646c6f4742"/>
  </x:tableParts>
</x:worksheet>
</file>
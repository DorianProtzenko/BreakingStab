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f3fb352984d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ES_PERFUSION" sheetId="1" r:id="Rcd9f02ade71a4e0c"/>
    <x:sheet xmlns:r="http://schemas.openxmlformats.org/officeDocument/2006/relationships" name="MATERIEL_PAR_METHODE" sheetId="2" r:id="R9f6f222d43924947"/>
    <x:sheet xmlns:r="http://schemas.openxmlformats.org/officeDocument/2006/relationships" name="FACTEURS_ITEMS" sheetId="3" r:id="Rc47bda103fa449ff"/>
    <x:sheet xmlns:r="http://schemas.openxmlformats.org/officeDocument/2006/relationships" name="LOCATIONS" sheetId="4" r:id="R1137fbab22d8446a"/>
    <x:sheet xmlns:r="http://schemas.openxmlformats.org/officeDocument/2006/relationships" name="DM Perfusion de l'hôpital" sheetId="5" r:id="R5fbdf83f7f4947df"/>
    <x:sheet xmlns:r="http://schemas.openxmlformats.org/officeDocument/2006/relationships" name="HAD" sheetId="6" r:id="Ra560615c1a3645db"/>
    <x:sheet xmlns:r="http://schemas.openxmlformats.org/officeDocument/2006/relationships" name="TEMPS_HUMAIN" sheetId="7" r:id="R57ba357ef82b4748"/>
    <x:sheet xmlns:r="http://schemas.openxmlformats.org/officeDocument/2006/relationships" name="COUTS_HORAIRES" sheetId="8" r:id="Rf8d88275c311473f"/>
    <x:sheet xmlns:r="http://schemas.openxmlformats.org/officeDocument/2006/relationships" name="DECHETS" sheetId="9" r:id="R229f3b33b1744466"/>
    <x:sheet xmlns:r="http://schemas.openxmlformats.org/officeDocument/2006/relationships" name="PARAMETRES" sheetId="10" r:id="R44f4490705924923"/>
    <x:sheet xmlns:r="http://schemas.openxmlformats.org/officeDocument/2006/relationships" name="README" sheetId="11" r:id="R03963eebfbc54786"/>
    <x:sheet xmlns:r="http://schemas.openxmlformats.org/officeDocument/2006/relationships" name="CHANGELOG" sheetId="12" r:id="R756681435d3c46e7"/>
    <x:sheet xmlns:r="http://schemas.openxmlformats.org/officeDocument/2006/relationships" name="ACV ATB" sheetId="13" r:id="Reeb0fc361b9f4e6f"/>
    <x:sheet xmlns:r="http://schemas.openxmlformats.org/officeDocument/2006/relationships" name="LOGIQUE_CALCUL" sheetId="14" r:id="R81638f88203d470f"/>
  </x:sheets>
</x:workbook>
</file>

<file path=xl/sharedStrings.xml><?xml version="1.0" encoding="utf-8"?>
<x:sst xmlns:x="http://schemas.openxmlformats.org/spreadsheetml/2006/main">
  <x:si>
    <x:t xml:space="preserve">Facteurs coût et CO₂ des consommables</x:t>
  </x:si>
  <x:si>
    <x:t xml:space="preserve">Compléter les coûts unitaires, kgCO₂e unitaires et poids. Ces valeurs seront utilisées pour calculer coût/CO₂ par jour et par traitement.</x:t>
  </x:si>
  <x:si>
    <x:t xml:space="preserve">item_id</x:t>
  </x:si>
  <x:si>
    <x:t xml:space="preserve">item_libelle</x:t>
  </x:si>
  <x:si>
    <x:t xml:space="preserve">cout_unitaire_eur</x:t>
  </x:si>
  <x:si>
    <x:t xml:space="preserve">kgco2e_unitaire</x:t>
  </x:si>
  <x:si>
    <x:t xml:space="preserve">poids_g</x:t>
  </x:si>
  <x:si>
    <x:t xml:space="preserve">type_dechet</x:t>
  </x:si>
  <x:si>
    <x:t xml:space="preserve">source_cout</x:t>
  </x:si>
  <x:si>
    <x:t xml:space="preserve">source_co2</x:t>
  </x:si>
  <x:si>
    <x:t xml:space="preserve">niveau_incertitude</x:t>
  </x:si>
  <x:si>
    <x:t xml:space="preserve">commentaire</x:t>
  </x:si>
  <x:si>
    <x:t xml:space="preserve">POCHE_NACL_G5_50ML</x:t>
  </x:si>
  <x:si>
    <x:t xml:space="preserve">Poche NaCl/G5 50 mL</x:t>
  </x:si>
  <x:si>
    <x:t xml:space="preserve">DASRI</x:t>
  </x:si>
  <x:si>
    <x:t xml:space="preserve">Copilote</x:t>
  </x:si>
  <x:si>
    <x:t xml:space="preserve">Carebone / LLM</x:t>
  </x:si>
  <x:si>
    <x:t xml:space="preserve">moyen</x:t>
  </x:si>
  <x:si>
    <x:t xml:space="preserve">POCHE_NACL_G5_100ML</x:t>
  </x:si>
  <x:si>
    <x:t xml:space="preserve">Poche NaCl/G5 100 mL</x:t>
  </x:si>
  <x:si>
    <x:t xml:space="preserve">POCHE_NACL_G5_250ML</x:t>
  </x:si>
  <x:si>
    <x:t xml:space="preserve">Poche NaCl/G5 250 mL</x:t>
  </x:si>
  <x:si>
    <x:t xml:space="preserve">POCHE_NACL_G5_500ML</x:t>
  </x:si>
  <x:si>
    <x:t xml:space="preserve">Poche NaCl/G5 500 mL</x:t>
  </x:si>
  <x:si>
    <x:t xml:space="preserve">SERINGUE_PP_24ML</x:t>
  </x:si>
  <x:si>
    <x:t xml:space="preserve">Seringue PP 24 mL</x:t>
  </x:si>
  <x:si>
    <x:t xml:space="preserve">SERINGUE_PP_50ML</x:t>
  </x:si>
  <x:si>
    <x:t xml:space="preserve">Seringue PP 50 mL</x:t>
  </x:si>
  <x:si>
    <x:t xml:space="preserve">TUBULURE_POMPE_VOL</x:t>
  </x:si>
  <x:si>
    <x:t xml:space="preserve">Tubulure pompe volumétrique</x:t>
  </x:si>
  <x:si>
    <x:t xml:space="preserve">élevé</x:t>
  </x:si>
  <x:si>
    <x:t xml:space="preserve">PROLONGATEUR_STANDARD</x:t>
  </x:si>
  <x:si>
    <x:t xml:space="preserve">Prolongateur standard</x:t>
  </x:si>
  <x:si>
    <x:t xml:space="preserve">PROLONGATEUR_PSE</x:t>
  </x:si>
  <x:si>
    <x:t xml:space="preserve">Prolongateur PSE</x:t>
  </x:si>
  <x:si>
    <x:t xml:space="preserve">PERFUSEUR_STANDARD</x:t>
  </x:si>
  <x:si>
    <x:t xml:space="preserve">Perfuseur standard</x:t>
  </x:si>
  <x:si>
    <x:t xml:space="preserve">Poche/réservoir Rythmic avec tubulure 200 mL</x:t>
  </x:si>
  <x:si>
    <x:t xml:space="preserve">faible</x:t>
  </x:si>
  <x:si>
    <x:t xml:space="preserve">À renseigner seulement si non inclus dans DM captif/location</x:t>
  </x:si>
  <x:si>
    <x:t xml:space="preserve">Poche/réservoir Rythmic avec tubulure 100 mL</x:t>
  </x:si>
  <x:si>
    <x:t xml:space="preserve">DISPOSITIF_ANAPA_250</x:t>
  </x:si>
  <x:si>
    <x:t xml:space="preserve">ANAPA 250 mL</x:t>
  </x:si>
  <x:si>
    <x:t xml:space="preserve">NEOPUMP_500</x:t>
  </x:si>
  <x:si>
    <x:t xml:space="preserve">NEOPUMP 500 mL</x:t>
  </x:si>
  <x:si>
    <x:t xml:space="preserve">NEOPUMP_250</x:t>
  </x:si>
  <x:si>
    <x:t xml:space="preserve">NEOPUMP 250 mL</x:t>
  </x:si>
  <x:si>
    <x:t xml:space="preserve">Estimation</x:t>
  </x:si>
  <x:si>
    <x:t xml:space="preserve">RINCAGE_NACL_10ML</x:t>
  </x:si>
  <x:si>
    <x:t xml:space="preserve">Rinçage NaCl 10 mL</x:t>
  </x:si>
  <x:si>
    <x:t xml:space="preserve">Seringue préremplie ou seringue + ampoule selon pratique</x:t>
  </x:si>
  <x:si>
    <x:t xml:space="preserve">COMPRESSE_ANTISEPTIQUE</x:t>
  </x:si>
  <x:si>
    <x:t xml:space="preserve">Compresse + antiseptique</x:t>
  </x:si>
  <x:si>
    <x:t xml:space="preserve">Optionnel</x:t>
  </x:si>
  <x:si>
    <x:t xml:space="preserve">ETIQUETTE</x:t>
  </x:si>
  <x:si>
    <x:t xml:space="preserve">Étiquette préparation</x:t>
  </x:si>
  <x:si>
    <x:t xml:space="preserve">DAOM</x:t>
  </x:si>
  <x:si>
    <x:t xml:space="preserve">Data coût à l'utilisation matériel qu'on a nous</x:t>
  </x:si>
  <x:si>
    <x:t xml:space="preserve">Hypothèse de calcul = coût / journées d'utilisations théorique &amp; ACV / journées d'utilisation théorique</x:t>
  </x:si>
  <x:si>
    <x:t xml:space="preserve">methode_id</x:t>
  </x:si>
  <x:si>
    <x:t xml:space="preserve">Coût à l'achat</x:t>
  </x:si>
  <x:si>
    <x:t xml:space="preserve">ACV</x:t>
  </x:si>
  <x:si>
    <x:t xml:space="preserve">Jours d'utilisation</x:t>
  </x:si>
  <x:si>
    <x:t xml:space="preserve">cout_par_jour</x:t>
  </x:si>
  <x:si>
    <x:t xml:space="preserve">kgco2e_par_jour</x:t>
  </x:si>
  <x:si>
    <x:t xml:space="preserve">PSE_48_CONT</x:t>
  </x:si>
  <x:si>
    <x:t xml:space="preserve">NA</x:t>
  </x:si>
  <x:si>
    <x:t xml:space="preserve">POMPE VOLUMETRIQUE CLASSIQUE</x:t>
  </x:si>
  <x:si>
    <x:t xml:space="preserve">DM unique</x:t>
  </x:si>
  <x:si>
    <x:t xml:space="preserve">Paramètres HAD et passages infirmiers</x:t>
  </x:si>
  <x:si>
    <x:t xml:space="preserve">Le logiciel calculera : coût HAD/jour = nombre de passages IDE/jour × 60 €, sauf si paramètre modifié.</x:t>
  </x:si>
  <x:si>
    <x:t xml:space="preserve">contexte</x:t>
  </x:si>
  <x:si>
    <x:t xml:space="preserve">cout_passage_ide_eur</x:t>
  </x:si>
  <x:si>
    <x:t xml:space="preserve">kgco2e_passage_ide</x:t>
  </x:si>
  <x:si>
    <x:t xml:space="preserve">km_moyen_par_passage</x:t>
  </x:si>
  <x:si>
    <x:t xml:space="preserve">IDEL pour passage</x:t>
  </x:si>
  <x:si>
    <x:t xml:space="preserve">Règle fournie : chaque passage infirmier libéral = 60 €</x:t>
  </x:si>
  <x:si>
    <x:t xml:space="preserve">Temps humain par méthode</x:t>
  </x:si>
  <x:si>
    <x:t xml:space="preserve">Optionnel. Utile pour comparer le coût hospitalier hors forfait HAD.</x:t>
  </x:si>
  <x:si>
    <x:t xml:space="preserve">temps_preparation_min</x:t>
  </x:si>
  <x:si>
    <x:t xml:space="preserve">temps_controle_pharma_min</x:t>
  </x:si>
  <x:si>
    <x:t xml:space="preserve">temps_pose_ide_min</x:t>
  </x:si>
  <x:si>
    <x:t xml:space="preserve">temps_retrait_ide_min</x:t>
  </x:si>
  <x:si>
    <x:t xml:space="preserve">temps_surveillance_min</x:t>
  </x:si>
  <x:si>
    <x:t xml:space="preserve">POCHE_VOL_CONT</x:t>
  </x:si>
  <x:si>
    <x:t xml:space="preserve">Par poche</x:t>
  </x:si>
  <x:si>
    <x:t xml:space="preserve">Par seringue</x:t>
  </x:si>
  <x:si>
    <x:t xml:space="preserve">RYTHMIC_CONT</x:t>
  </x:si>
  <x:si>
    <x:t xml:space="preserve">Par réservoir Rythmic</x:t>
  </x:si>
  <x:si>
    <x:t xml:space="preserve">ANAPA_CONT</x:t>
  </x:si>
  <x:si>
    <x:t xml:space="preserve">Par dispositif ANAPA</x:t>
  </x:si>
  <x:si>
    <x:t xml:space="preserve">NEOPUMP_CONT</x:t>
  </x:si>
  <x:si>
    <x:t xml:space="preserve">Par dispositif NEOPUMP</x:t>
  </x:si>
  <x:si>
    <x:t xml:space="preserve">POCHE_DISCONT</x:t>
  </x:si>
  <x:si>
    <x:t xml:space="preserve">Par administration</x:t>
  </x:si>
  <x:si>
    <x:t xml:space="preserve">PSE_24_HAD_DISCONT</x:t>
  </x:si>
  <x:si>
    <x:t xml:space="preserve">En HAD, peut être remplacé par forfait passage IDE</x:t>
  </x:si>
  <x:si>
    <x:t xml:space="preserve">Coûts horaires</x:t>
  </x:si>
  <x:si>
    <x:t xml:space="preserve">Optionnel. Utilisé seulement si le calcul du temps humain hospitalier est activé.</x:t>
  </x:si>
  <x:si>
    <x:t xml:space="preserve">profil</x:t>
  </x:si>
  <x:si>
    <x:t xml:space="preserve">cout_horaire_eur</x:t>
  </x:si>
  <x:si>
    <x:t xml:space="preserve">source</x:t>
  </x:si>
  <x:si>
    <x:t xml:space="preserve">préparateur pharmacie</x:t>
  </x:si>
  <x:si>
    <x:t xml:space="preserve">à compléter</x:t>
  </x:si>
  <x:si>
    <x:t xml:space="preserve">Coût horaire chargé</x:t>
  </x:si>
  <x:si>
    <x:t xml:space="preserve">pharmacien</x:t>
  </x:si>
  <x:si>
    <x:t xml:space="preserve">IDE hospitalier</x:t>
  </x:si>
  <x:si>
    <x:t xml:space="preserve">Facteurs déchets</x:t>
  </x:si>
  <x:si>
    <x:t xml:space="preserve">Optionnel. Calcul déchets = poids item × facteur traitement.</x:t>
  </x:si>
  <x:si>
    <x:t xml:space="preserve">cout_traitement_eur_kg</x:t>
  </x:si>
  <x:si>
    <x:t xml:space="preserve">kgco2e_traitement_kg</x:t>
  </x:si>
  <x:si>
    <x:t xml:space="preserve">Carebone</x:t>
  </x:si>
  <x:si>
    <x:t xml:space="preserve">Incinération/traitement spécifique, inclus emballage primaire, verre ou non</x:t>
  </x:si>
  <x:si>
    <x:t xml:space="preserve">Déchet assimilé ordures ménagères</x:t>
  </x:si>
  <x:si>
    <x:t xml:space="preserve">CARTON</x:t>
  </x:si>
  <x:si>
    <x:t xml:space="preserve">README — Consignes d'utilisation</x:t>
  </x:si>
  <x:si>
    <x:t xml:space="preserve">Documentation interne de la base de coûts et d'impact carbone.</x:t>
  </x:si>
  <x:si>
    <x:t xml:space="preserve">section</x:t>
  </x:si>
  <x:si>
    <x:t xml:space="preserve">contenu</x:t>
  </x:si>
  <x:si>
    <x:t xml:space="preserve">Objectif</x:t>
  </x:si>
  <x:si>
    <x:t xml:space="preserve">Base de paramètres pour simuler l'impact économique et écologique des méthodes de perfusion proposées par Breaking Stab.</x:t>
  </x:si>
  <x:si>
    <x:t xml:space="preserve">Principe</x:t>
  </x:si>
  <x:si>
    <x:t xml:space="preserve">Les scénarios cliniques ne sont pas saisis dans ce fichier. Ils seront générés automatiquement par le logiciel à partir du moteur inversé.</x:t>
  </x:si>
  <x:si>
    <x:t xml:space="preserve">Règle HAD</x:t>
  </x:si>
  <x:si>
    <x:t xml:space="preserve">Chaque passage infirmier libéral en HAD est valorisé à 60 € par défaut.</x:t>
  </x:si>
  <x:si>
    <x:t xml:space="preserve">Règle location</x:t>
  </x:si>
  <x:si>
    <x:t xml:space="preserve">Rythmic et PSE HAD 24 mL sont modélisés avec une location par jour.</x:t>
  </x:si>
  <x:si>
    <x:t xml:space="preserve">Règle DM</x:t>
  </x:si>
  <x:si>
    <x:t xml:space="preserve">Rythmic = DM captif. Le reste = DM unique, sauf exception renseignée dans les tables.</x:t>
  </x:si>
  <x:si>
    <x:t xml:space="preserve">À compléter</x:t>
  </x:si>
  <x:si>
    <x:t xml:space="preserve">Renseigner les coûts unitaires, kgCO₂e, poids, sources et incertitudes dans FACTEURS_ITEMS, LOCATIONS, HAD, DECHETS et COUTS_HORAIRES.</x:t>
  </x:si>
  <x:si>
    <x:t xml:space="preserve">Attention</x:t>
  </x:si>
  <x:si>
    <x:t xml:space="preserve">Ne pas renommer les en-têtes de colonnes ni les methode_id/item_id sans adapter le code du logiciel.</x:t>
  </x:si>
  <x:si>
    <x:t xml:space="preserve">CHANGELOG — Suivi des modifications</x:t>
  </x:si>
  <x:si>
    <x:t xml:space="preserve">Tracer chaque modification significative : coût, kgCO₂e, poids, ajout/retrait d'un item ou d'une méthode.</x:t>
  </x:si>
  <x:si>
    <x:t xml:space="preserve">date</x:t>
  </x:si>
  <x:si>
    <x:t xml:space="preserve">auteur</x:t>
  </x:si>
  <x:si>
    <x:t xml:space="preserve">onglet</x:t>
  </x:si>
  <x:si>
    <x:t xml:space="preserve">modification</x:t>
  </x:si>
  <x:si>
    <x:t xml:space="preserve">justification</x:t>
  </x:si>
  <x:si>
    <x:t xml:space="preserve">AAAA-MM-JJ</x:t>
  </x:si>
  <x:si>
    <x:t xml:space="preserve">Nom</x:t>
  </x:si>
  <x:si>
    <x:t xml:space="preserve">FACTEURS_ITEMS</x:t>
  </x:si>
  <x:si>
    <x:t xml:space="preserve">URL ou référence</x:t>
  </x:si>
  <x:si>
    <x:t xml:space="preserve">LOCATIONS</x:t>
  </x:si>
  <x:si>
    <x:t xml:space="preserve">HAD</x:t>
  </x:si>
  <x:si>
    <x:t xml:space="preserve">DECHETS</x:t>
  </x:si>
  <x:si>
    <x:t xml:space="preserve">PARAMETRES</x:t>
  </x:si>
</x:sst>
</file>

<file path=xl/styles.xml><?xml version="1.0" encoding="utf-8"?>
<x:styleSheet xmlns:x="http://schemas.openxmlformats.org/spreadsheetml/2006/main">
  <x:numFmts count="7">
    <x:numFmt numFmtId="164" formatCode="0.000"/>
    <x:numFmt numFmtId="165" formatCode="0.0"/>
    <x:numFmt numFmtId="200" formatCode="0.00"/>
    <x:numFmt numFmtId="201" formatCode="0"/>
    <x:numFmt numFmtId="202" formatCode="0.000000"/>
    <x:numFmt numFmtId="203" formatCode="0.###"/>
    <x:numFmt numFmtId="204" formatCode="0.0000"/>
  </x:numFmts>
  <x:fonts count="7">
    <x:font>
      <x:sz val="11"/>
      <x:name val="Carlito"/>
    </x:font>
    <x:font>
      <x:b/>
      <x:sz val="14"/>
      <x:color rgb="172637"/>
      <x:name val="Carlito"/>
    </x:font>
    <x:font>
      <x:sz val="11"/>
      <x:color rgb="172637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17263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E3F0FB"/>
      </x:patternFill>
    </x:fill>
    <x:fill>
      <x:patternFill patternType="solid">
        <x:fgColor rgb="F4F8FB"/>
      </x:patternFill>
    </x:fill>
    <x:fill>
      <x:patternFill patternType="solid">
        <x:fgColor rgb="1D5F8F"/>
      </x:patternFill>
    </x:fill>
    <x:fill>
      <x:patternFill patternType="solid">
        <x:fgColor rgb="0F766E"/>
      </x:patternFill>
    </x:fill>
    <x:fill>
      <x:patternFill patternType="solid">
        <x:fgColor rgb="CCFBF1"/>
      </x:patternFill>
    </x:fill>
    <x:fill>
      <x:patternFill patternType="solid">
        <x:fgColor rgb="ECFDF5"/>
      </x:patternFill>
    </x:fill>
    <x:fill>
      <x:patternFill patternType="solid">
        <x:fgColor rgb="0F766E"/>
      </x:patternFill>
    </x:fill>
    <x:fill>
      <x:patternFill patternType="solid">
        <x:fgColor rgb="DDEBF7"/>
      </x:patternFill>
    </x:fill>
    <x:fill>
      <x:patternFill patternType="solid">
        <x:fgColor rgb="1D5F8F"/>
      </x:patternFill>
    </x:fill>
  </x:fills>
  <x:borders count="3">
    <x:border/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/>
    <x:xf numFmtId="164" fontId="0" fillId="0" borderId="1" xfId="0" applyNumberFormat="1" applyFont="1" applyFill="1" applyBorder="1" applyAlignment="1">
      <x:alignment wrapText="1"/>
    </x:xf>
    <x:xf numFmtId="164" fontId="0" fillId="0" borderId="1" xfId="0" applyNumberFormat="1" applyFont="1" applyFill="1" applyBorder="1"/>
    <x:xf numFmtId="165" fontId="0" fillId="0" borderId="0" xfId="0" applyNumberFormat="1" applyFont="1" applyFill="1" applyBorder="1" applyAlignment="1">
      <x:alignment wrapText="1"/>
    </x:xf>
    <x:xf numFmtId="165" fontId="0" fillId="0" borderId="0" xfId="0" applyNumberFormat="1" applyFont="1" applyFill="1" applyBorder="1"/>
    <x:xf numFmtId="49" fontId="0" fillId="0" borderId="0" xfId="0" applyNumberFormat="1" applyFont="1" applyFill="1" applyBorder="1" applyAlignment="1">
      <x:alignment wrapText="1"/>
    </x:xf>
    <x:xf numFmtId="49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164" fontId="0" fillId="0" borderId="2" xfId="0" applyNumberFormat="1" applyFont="1" applyFill="1" applyBorder="1" applyAlignment="1">
      <x:alignment wrapText="1"/>
    </x:xf>
    <x:xf numFmtId="164" fontId="0" fillId="0" borderId="2" xfId="0" applyNumberFormat="1" applyFont="1" applyFill="1" applyBorder="1"/>
    <x:xf numFmtId="165" fontId="0" fillId="0" borderId="2" xfId="0" applyNumberFormat="1" applyFont="1" applyFill="1" applyBorder="1" applyAlignment="1">
      <x:alignment wrapText="1"/>
    </x:xf>
    <x:xf numFmtId="165" fontId="0" fillId="0" borderId="2" xfId="0" applyNumberFormat="1" applyFont="1" applyFill="1" applyBorder="1"/>
    <x:xf numFmtId="49" fontId="0" fillId="0" borderId="2" xfId="0" applyNumberFormat="1" applyFont="1" applyFill="1" applyBorder="1" applyAlignment="1">
      <x:alignment wrapText="1"/>
    </x:xf>
    <x:xf numFmtId="49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left" vertical="center"/>
    </x:xf>
    <x:xf numFmtId="0" fontId="2" fillId="3" borderId="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left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ill>
        <x:patternFill>
          <x:bgColor rgb="FFFFF4E8"/>
        </x:patternFill>
      </x:fill>
    </x:dxf>
    <x:dxf>
      <x:fill>
        <x:patternFill>
          <x:bgColor rgb="FFFFF4E8"/>
        </x:patternFill>
      </x:fill>
    </x:dxf>
    <x:dxf>
      <x:font>
        <x:u val="none"/>
        <x:sz val="11"/>
        <x:color auto="1"/>
        <x:name val="Carlito"/>
        <x:scheme val="none"/>
      </x:font>
      <x:numFmt numFmtId="164" formatCode="0.000"/>
      <x:fill>
        <x:patternFill>
          <x:bgColor indexed="65"/>
        </x:patternFill>
      </x:fill>
    </x:dxf>
    <x:dxf>
      <x:font>
        <x:u val="none"/>
        <x:sz val="11"/>
        <x:color auto="1"/>
        <x:name val="Carlito"/>
        <x:scheme val="none"/>
      </x:font>
      <x:numFmt numFmtId="164" formatCode="0.000"/>
      <x:fill>
        <x:patternFill>
          <x:bgColor indexed="65"/>
        </x:patternFill>
      </x:fill>
    </x:dxf>
    <x:dxf>
      <x:font>
        <x:u val="none"/>
        <x:sz val="11"/>
        <x:color auto="1"/>
        <x:name val="Carlito"/>
        <x:scheme val="none"/>
      </x:font>
      <x:numFmt numFmtId="164" formatCode="0.000"/>
      <x:fill>
        <x:patternFill>
          <x:bgColor indexed="65"/>
        </x:patternFill>
      </x:fill>
    </x:dxf>
    <x:dxf>
      <x:font>
        <x:u val="none"/>
        <x:sz val="11"/>
        <x:color auto="1"/>
        <x:name val="Carlito"/>
        <x:scheme val="none"/>
      </x:font>
      <x:numFmt numFmtId="164" formatCode="0.000"/>
      <x:fill>
        <x:patternFill>
          <x:bgColor indexed="65"/>
        </x:patternFill>
      </x:fill>
    </x:dxf>
    <x:dxf>
      <x:font>
        <x:u val="none"/>
        <x:sz val="11"/>
        <x:color auto="1"/>
        <x:name val="Carlito"/>
        <x:scheme val="none"/>
      </x:font>
      <x:numFmt numFmtId="164" formatCode="0.000"/>
      <x:fill>
        <x:patternFill>
          <x:bgColor indexed="65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2553032bb439f" /><Relationship Type="http://schemas.openxmlformats.org/officeDocument/2006/relationships/theme" Target="/xl/theme/theme1.xml" Id="Re23823abdf8a4709" /><Relationship Type="http://schemas.openxmlformats.org/officeDocument/2006/relationships/sharedStrings" Target="/xl/sharedStrings.xml" Id="Recb7d256ac73488d" /><Relationship Type="http://schemas.openxmlformats.org/officeDocument/2006/relationships/worksheet" Target="/xl/worksheets/sheet1.xml" Id="Rcd9f02ade71a4e0c" /><Relationship Type="http://schemas.openxmlformats.org/officeDocument/2006/relationships/worksheet" Target="/xl/worksheets/sheet2.xml" Id="R9f6f222d43924947" /><Relationship Type="http://schemas.openxmlformats.org/officeDocument/2006/relationships/worksheet" Target="/xl/worksheets/sheet3.xml" Id="Rc47bda103fa449ff" /><Relationship Type="http://schemas.openxmlformats.org/officeDocument/2006/relationships/worksheet" Target="/xl/worksheets/sheet4.xml" Id="R1137fbab22d8446a" /><Relationship Type="http://schemas.openxmlformats.org/officeDocument/2006/relationships/worksheet" Target="/xl/worksheets/sheet5.xml" Id="R5fbdf83f7f4947df" /><Relationship Type="http://schemas.openxmlformats.org/officeDocument/2006/relationships/worksheet" Target="/xl/worksheets/sheet6.xml" Id="Ra560615c1a3645db" /><Relationship Type="http://schemas.openxmlformats.org/officeDocument/2006/relationships/worksheet" Target="/xl/worksheets/sheet7.xml" Id="R57ba357ef82b4748" /><Relationship Type="http://schemas.openxmlformats.org/officeDocument/2006/relationships/worksheet" Target="/xl/worksheets/sheet8.xml" Id="Rf8d88275c311473f" /><Relationship Type="http://schemas.openxmlformats.org/officeDocument/2006/relationships/worksheet" Target="/xl/worksheets/sheet9.xml" Id="R229f3b33b1744466" /><Relationship Type="http://schemas.openxmlformats.org/officeDocument/2006/relationships/worksheet" Target="/xl/worksheets/sheet10.xml" Id="R44f4490705924923" /><Relationship Type="http://schemas.openxmlformats.org/officeDocument/2006/relationships/worksheet" Target="/xl/worksheets/sheet11.xml" Id="R03963eebfbc54786" /><Relationship Type="http://schemas.openxmlformats.org/officeDocument/2006/relationships/worksheet" Target="/xl/worksheets/sheet12.xml" Id="R756681435d3c46e7" /><Relationship Type="http://schemas.openxmlformats.org/officeDocument/2006/relationships/worksheet" Target="/xl/worksheets/sheet13.xml" Id="Reeb0fc361b9f4e6f" /><Relationship Type="http://schemas.openxmlformats.org/officeDocument/2006/relationships/worksheet" Target="/xl/worksheets/sheet14.xml" Id="R81638f88203d470f" /></Relationships>
</file>

<file path=xl/tables/table1.xml><?xml version="1.0" encoding="utf-8"?>
<x:table xmlns:x="http://schemas.openxmlformats.org/spreadsheetml/2006/main" id="1" name="MethodesPerfusion" displayName="MethodesPerfusion" ref="A3:L10">
  <x:tableColumns count="12">
    <x:tableColumn id="1" name="methode_id"/>
    <x:tableColumn id="2" name="libelle"/>
    <x:tableColumn id="3" name="mode"/>
    <x:tableColumn id="4" name="volume_ml"/>
    <x:tableColumn id="5" name="duree_h_defaut"/>
    <x:tableColumn id="6" name="location_jour"/>
    <x:tableColumn id="7" name="dm_captif"/>
    <x:tableColumn id="8" name="dm_unique"/>
    <x:tableColumn id="9" name="passages_ide_par_jour_defaut"/>
    <x:tableColumn id="10" name="frequences_possibles"/>
    <x:tableColumn id="11" name="contexte_defaut"/>
    <x:tableColumn id="12" name="commentaire"/>
  </x:tableColumns>
  <x:tableStyleInfo name="TableStyleMedium2" showRowStripes="1"/>
</x:table>
</file>

<file path=xl/tables/table2.xml><?xml version="1.0" encoding="utf-8"?>
<x:table xmlns:x="http://schemas.openxmlformats.org/spreadsheetml/2006/main" id="2" name="MaterielParMethode" displayName="MaterielParMethode" ref="A3:H23">
  <x:tableColumns count="8">
    <x:tableColumn id="1" name="methode_id"/>
    <x:tableColumn id="2" name="item_id"/>
    <x:tableColumn id="3" name="item_libelle"/>
    <x:tableColumn id="4" name="categorie"/>
    <x:tableColumn id="5" name="quantite_par_perfusion"/>
    <x:tableColumn id="6" name="inclus_dans_dm_captif"/>
    <x:tableColumn id="7" name="a_compter"/>
    <x:tableColumn id="8" name="commentaire"/>
  </x:tableColumns>
  <x:tableStyleInfo name="TableStyleMedium2" showRowStripes="1"/>
</x:table>
</file>

<file path=xl/tables/table3.xml><?xml version="1.0" encoding="utf-8"?>
<x:table xmlns:x="http://schemas.openxmlformats.org/spreadsheetml/2006/main" id="3" name="FacteursItems" displayName="FacteursItems" ref="A3:J21">
  <x:tableColumns count="10">
    <x:tableColumn id="1" name="item_id"/>
    <x:tableColumn id="2" name="item_libelle"/>
    <x:tableColumn id="3" name="cout_unitaire_eur"/>
    <x:tableColumn id="4" name="kgco2e_unitaire"/>
    <x:tableColumn id="5" name="poids_g"/>
    <x:tableColumn id="6" name="type_dechet"/>
    <x:tableColumn id="7" name="source_cout"/>
    <x:tableColumn id="8" name="source_co2"/>
    <x:tableColumn id="9" name="niveau_incertitude"/>
    <x:tableColumn id="10" name="commentaire"/>
  </x:tableColumns>
  <x:tableStyleInfo name="TableStyleMedium2" showRowStripes="1"/>
</x:table>
</file>

<file path=xl/tables/table4.xml><?xml version="1.0" encoding="utf-8"?>
<x:table xmlns:x="http://schemas.openxmlformats.org/spreadsheetml/2006/main" id="4" name="Locations" displayName="Locations" ref="A3:H5">
  <x:tableColumns count="8">
    <x:tableColumn id="1" name="methode_id"/>
    <x:tableColumn id="2" name="location_par_jour_eur"/>
    <x:tableColumn id="7" name="ACV"/>
    <x:tableColumn id="8" name="Nbre jour utilisation"/>
    <x:tableColumn id="3" name="kgco2e_location_par_jour"/>
    <x:tableColumn id="4" name="source_cout"/>
    <x:tableColumn id="5" name="source_co2"/>
    <x:tableColumn id="6" name="commentaire"/>
  </x:tableColumns>
  <x:tableStyleInfo name="TableStyleMedium2" showRowStripes="1"/>
</x:table>
</file>

<file path=xl/tables/table5.xml><?xml version="1.0" encoding="utf-8"?>
<x:table xmlns:x="http://schemas.openxmlformats.org/spreadsheetml/2006/main" id="12" name="Locations13" displayName="Locations13" ref="A3:I5">
  <x:tableColumns count="9">
    <x:tableColumn id="1" name="methode_id"/>
    <x:tableColumn id="2" name="Coût à l'achat"/>
    <x:tableColumn id="7" name="ACV"/>
    <x:tableColumn id="8" name="Jours d'utilisation"/>
    <x:tableColumn id="9" name="cout_par_jour"/>
    <x:tableColumn id="3" name="kgco2e_par_jour"/>
    <x:tableColumn id="4" name="source_cout"/>
    <x:tableColumn id="5" name="source_co2"/>
    <x:tableColumn id="6" name="commentaire"/>
  </x:tableColumns>
  <x:tableStyleInfo name="TableStyleMedium2" showRowStripes="1"/>
</x:table>
</file>

<file path=xl/tables/table6.xml><?xml version="1.0" encoding="utf-8"?>
<x:table xmlns:x="http://schemas.openxmlformats.org/spreadsheetml/2006/main" id="5" name="HadParams" displayName="HadParams" ref="A3:E4">
  <x:tableColumns count="5">
    <x:tableColumn id="1" name="contexte"/>
    <x:tableColumn id="2" name="cout_passage_ide_eur"/>
    <x:tableColumn id="3" name="kgco2e_passage_ide"/>
    <x:tableColumn id="4" name="km_moyen_par_passage"/>
    <x:tableColumn id="6" name="commentaire"/>
  </x:tableColumns>
  <x:tableStyleInfo name="TableStyleMedium2" showRowStripes="1"/>
</x:table>
</file>

<file path=xl/tables/table7.xml><?xml version="1.0" encoding="utf-8"?>
<x:table xmlns:x="http://schemas.openxmlformats.org/spreadsheetml/2006/main" id="6" name="TempsHumain" displayName="TempsHumain" ref="A3:G10">
  <x:tableColumns count="7">
    <x:tableColumn id="1" name="methode_id"/>
    <x:tableColumn id="2" name="temps_preparation_min"/>
    <x:tableColumn id="3" name="temps_controle_pharma_min"/>
    <x:tableColumn id="4" name="temps_pose_ide_min"/>
    <x:tableColumn id="5" name="temps_retrait_ide_min"/>
    <x:tableColumn id="6" name="temps_surveillance_min"/>
    <x:tableColumn id="7" name="commentaire"/>
  </x:tableColumns>
  <x:tableStyleInfo name="TableStyleMedium2" showRowStripes="1"/>
</x:table>
</file>

<file path=xl/tables/table8.xml><?xml version="1.0" encoding="utf-8"?>
<x:table xmlns:x="http://schemas.openxmlformats.org/spreadsheetml/2006/main" id="7" name="CoutsHoraires" displayName="CoutsHoraires" ref="A3:D6">
  <x:tableColumns count="4">
    <x:tableColumn id="1" name="profil"/>
    <x:tableColumn id="2" name="cout_horaire_eur"/>
    <x:tableColumn id="3" name="source"/>
    <x:tableColumn id="4" name="commentaire"/>
  </x:tableColumns>
  <x:tableStyleInfo name="TableStyleMedium2" showRowStripes="1"/>
</x:table>
</file>

<file path=xl/tables/table9.xml><?xml version="1.0" encoding="utf-8"?>
<x:table xmlns:x="http://schemas.openxmlformats.org/spreadsheetml/2006/main" id="8" name="Dechets" displayName="Dechets" ref="A3:E6">
  <x:tableColumns count="5">
    <x:tableColumn id="1" name="type_dechet"/>
    <x:tableColumn id="2" name="cout_traitement_eur_kg"/>
    <x:tableColumn id="3" name="kgco2e_traitement_kg"/>
    <x:tableColumn id="4" name="source"/>
    <x:tableColumn id="5" name="commentaire"/>
  </x:tableColumns>
  <x:tableStyleInfo name="TableStyleMedium2" showRowStripes="1"/>
</x:table>
</file>

<file path=xl/tables/table10.xml><?xml version="1.0" encoding="utf-8"?>
<x:table xmlns:x="http://schemas.openxmlformats.org/spreadsheetml/2006/main" id="9" name="Parametres" displayName="Parametres" ref="A3:D11">
  <x:tableColumns count="4">
    <x:tableColumn id="1" name="parametre"/>
    <x:tableColumn id="2" name="valeur"/>
    <x:tableColumn id="3" name="unite"/>
    <x:tableColumn id="4" name="commentaire"/>
  </x:tableColumns>
  <x:tableStyleInfo name="TableStyleMedium2" showRowStripes="1"/>
</x:table>
</file>

<file path=xl/tables/table11.xml><?xml version="1.0" encoding="utf-8"?>
<x:table xmlns:x="http://schemas.openxmlformats.org/spreadsheetml/2006/main" id="10" name="Readme" displayName="Readme" ref="A3:B10">
  <x:tableColumns count="2">
    <x:tableColumn id="1" name="section"/>
    <x:tableColumn id="2" name="contenu"/>
  </x:tableColumns>
  <x:tableStyleInfo name="TableStyleMedium2" showRowStripes="1"/>
</x:table>
</file>

<file path=xl/tables/table12.xml><?xml version="1.0" encoding="utf-8"?>
<x:table xmlns:x="http://schemas.openxmlformats.org/spreadsheetml/2006/main" id="11" name="Changelog" displayName="Changelog" ref="A3:F6">
  <x:tableColumns count="6">
    <x:tableColumn id="1" name="date"/>
    <x:tableColumn id="2" name="auteur"/>
    <x:tableColumn id="3" name="onglet"/>
    <x:tableColumn id="4" name="modification"/>
    <x:tableColumn id="5" name="justification"/>
    <x:tableColumn id="6" name="source"/>
  </x:tableColumns>
  <x:tableStyleInfo name="TableStyleMedium2" showRowStripes="1"/>
</x:table>
</file>

<file path=xl/tables/table13.xml><?xml version="1.0" encoding="utf-8"?>
<x:table xmlns:x="http://schemas.openxmlformats.org/spreadsheetml/2006/main" id="13" name="ACV_ATB_Table" displayName="ACV_ATB_Table" ref="A17:W101" headerRowCount="1">
  <x:tableColumns count="23">
    <x:tableColumn id="1" name="molecule_outil"/>
    <x:tableColumn id="2" name="presentation_flacon_dosage"/>
    <x:tableColumn id="3" name="type_presentation"/>
    <x:tableColumn id="4" name="PA1"/>
    <x:tableColumn id="5" name="PA1_mg"/>
    <x:tableColumn id="6" name="PA2"/>
    <x:tableColumn id="7" name="PA2_mg"/>
    <x:tableColumn id="8" name="PA3"/>
    <x:tableColumn id="9" name="PA3_mg"/>
    <x:tableColumn id="10" name="masse_PA_totale_g"/>
    <x:tableColumn id="11" name="FE_PA_retenu_kgCO2e_kg"/>
    <x:tableColumn id="12" name="ACV_PA_kgCO2e"/>
    <x:tableColumn id="13" name="ACV_transport_PA_kgCO2e"/>
    <x:tableColumn id="14" name="poids_conditionnement_primaire_g"/>
    <x:tableColumn id="15" name="FE_conditionnement_primaire"/>
    <x:tableColumn id="16" name="ACV_conditionnement_primaire_kgCO2e"/>
    <x:tableColumn id="17" name="poids_carton_proratise_g"/>
    <x:tableColumn id="18" name="ACV_carton_secondaire_kgCO2e"/>
    <x:tableColumn id="19" name="ACV_flacon_total_kgCO2e"/>
    <x:tableColumn id="20" name="niveau_incertitude"/>
    <x:tableColumn id="21" name="source_ATB"/>
    <x:tableColumn id="22" name="source_coefficients"/>
    <x:tableColumn id="23" name="commentai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3287cc6a0048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263ace151e49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eefc29e34cb40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c1a3569ba584b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634c37e34ea4a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8e5c97dd3f741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df1b174e1d04a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edc12e07d6047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565619320aa4dc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14d1684b1db4f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c0016eda5c24a7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00f600d5ba1498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aac3f62cdc049ac" /></Relationships>
</file>

<file path=xl/worksheets/sheet1.xml><?xml version="1.0" encoding="utf-8"?>
<x:worksheet xmlns:x="http://schemas.openxmlformats.org/spreadsheetml/2006/main">
  <x:sheetFormatPr baseColWidth="10" defaultColWidth="9" defaultRowHeight="14.25"/>
  <x:cols>
    <x:col min="1" max="1" width="104.8499984741211" hidden="0" customWidth="1"/>
    <x:col min="2" max="2" width="32.29999923706055" hidden="0" customWidth="1"/>
    <x:col min="3" max="3" width="10.359999656677246" hidden="0" customWidth="1"/>
    <x:col min="5" max="5" width="17.229999542236328" hidden="0" customWidth="1"/>
    <x:col min="6" max="6" width="13.460000038146973" hidden="0" customWidth="1"/>
    <x:col min="7" max="7" width="10.899999618530273" hidden="0" customWidth="1"/>
    <x:col min="9" max="9" width="27.729999542236328" hidden="0" customWidth="1"/>
    <x:col min="10" max="10" width="20.190000534057617" hidden="0" customWidth="1"/>
    <x:col min="11" max="11" width="16.690000534057617" hidden="0" customWidth="1"/>
    <x:col min="12" max="12" width="68.37000274658203" hidden="0" customWidth="1"/>
    <x:col min="4" max="4" width="11.84000015258789" hidden="0" customWidth="1"/>
    <x:col min="8" max="8" width="11.979999542236328" hidden="0" customWidth="1"/>
  </x:cols>
  <x:sheetData>
    <x:row r="1" ht="27.950000762939453" customHeight="1">
      <x:c r="A1" s="57" t="str">
        <x:v>Méthodes de perfusion — paramètres généraux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</x:row>
    <x:row r="2" ht="42" customHeight="1">
      <x:c r="A2" s="14" t="str">
        <x:v>Base de paramètres lue par le logiciel. Les scénarios ne sont pas saisis ici : ils seront générés dynamiquement par le moteur inversé.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3" ht="30">
      <x:c r="A3" s="58" t="str">
        <x:v>methode_id</x:v>
      </x:c>
      <x:c r="B3" s="58" t="str">
        <x:v>libelle</x:v>
      </x:c>
      <x:c r="C3" s="58" t="str">
        <x:v>mode</x:v>
      </x:c>
      <x:c r="D3" s="58" t="str">
        <x:v>volume_ml</x:v>
      </x:c>
      <x:c r="E3" s="58" t="str">
        <x:v>duree_h_defaut</x:v>
      </x:c>
      <x:c r="F3" s="58" t="str">
        <x:v>location_jour</x:v>
      </x:c>
      <x:c r="G3" s="58" t="str">
        <x:v>dm_captif</x:v>
      </x:c>
      <x:c r="H3" s="58" t="str">
        <x:v>dm_unique</x:v>
      </x:c>
      <x:c r="I3" s="58" t="str">
        <x:v>passages_ide_par_jour_defaut</x:v>
      </x:c>
      <x:c r="J3" s="58" t="str">
        <x:v>frequences_possibles</x:v>
      </x:c>
      <x:c r="K3" s="58" t="str">
        <x:v>contexte_defaut</x:v>
      </x:c>
      <x:c r="L3" s="58" t="str">
        <x:v>commentaire</x:v>
      </x:c>
    </x:row>
    <x:row r="4" ht="33.95000076293945" customHeight="1">
      <x:c r="A4" s="3" t="str">
        <x:v>POCHE_VOL_CONT</x:v>
      </x:c>
      <x:c r="B4" s="3" t="str">
        <x:v>Poche en pompe volumétrique classique</x:v>
      </x:c>
      <x:c r="C4" s="3" t="str">
        <x:v>continu</x:v>
      </x:c>
      <x:c r="D4" s="3" t="str">
        <x:v>variable</x:v>
      </x:c>
      <x:c r="E4" s="3" t="n">
        <x:v>24</x:v>
      </x:c>
      <x:c r="F4" s="3" t="str">
        <x:v>non</x:v>
      </x:c>
      <x:c r="G4" s="3" t="str">
        <x:v>non</x:v>
      </x:c>
      <x:c r="H4" s="3" t="str">
        <x:v>oui</x:v>
      </x:c>
      <x:c r="I4" s="3" t="n">
        <x:v>1</x:v>
      </x:c>
      <x:c r="J4" s="3" t="str">
        <x:v>q24/q12/q8/q6</x:v>
      </x:c>
      <x:c r="K4" s="3" t="str">
        <x:v>HOSPITALIER</x:v>
      </x:c>
      <x:c r="L4" s="3" t="str">
        <x:v>Intra-hospitalier uniquement dans le modèle ; volume selon moteur.</x:v>
      </x:c>
    </x:row>
    <x:row r="5" ht="33.95000076293945" customHeight="1">
      <x:c r="A5" s="3" t="str">
        <x:v>PSE_48_CONT</x:v>
      </x:c>
      <x:c r="B5" s="3" t="str">
        <x:v>PSE 48 mL</x:v>
      </x:c>
      <x:c r="C5" s="3" t="str">
        <x:v>continu</x:v>
      </x:c>
      <x:c r="D5" s="3" t="n">
        <x:v>48</x:v>
      </x:c>
      <x:c r="E5" s="3" t="str">
        <x:v>variable</x:v>
      </x:c>
      <x:c r="F5" s="3" t="str">
        <x:v>non</x:v>
      </x:c>
      <x:c r="G5" s="3" t="str">
        <x:v>non</x:v>
      </x:c>
      <x:c r="H5" s="3" t="str">
        <x:v>oui</x:v>
      </x:c>
      <x:c r="I5" s="3" t="str">
        <x:v>variable</x:v>
      </x:c>
      <x:c r="J5" s="3" t="str">
        <x:v>q24/q12/q8/q6</x:v>
      </x:c>
      <x:c r="K5" s="3" t="str">
        <x:v>HOSPITALIER</x:v>
      </x:c>
      <x:c r="L5" s="3" t="str">
        <x:v>PSE 48 mL intra-hospitalier ; changement selon stabilité.</x:v>
      </x:c>
    </x:row>
    <x:row r="6" ht="33.95000076293945" customHeight="1">
      <x:c r="A6" s="3" t="str">
        <x:v>PSE_24_HAD_CONT</x:v>
      </x:c>
      <x:c r="B6" s="3" t="str">
        <x:v>PSE HAD 24 mL</x:v>
      </x:c>
      <x:c r="C6" s="3" t="str">
        <x:v>continu</x:v>
      </x:c>
      <x:c r="D6" s="3" t="n">
        <x:v>24</x:v>
      </x:c>
      <x:c r="E6" s="3" t="str">
        <x:v>variable</x:v>
      </x:c>
      <x:c r="F6" s="3" t="str">
        <x:v>oui</x:v>
      </x:c>
      <x:c r="G6" s="3" t="str">
        <x:v>non</x:v>
      </x:c>
      <x:c r="H6" s="3" t="str">
        <x:v>oui</x:v>
      </x:c>
      <x:c r="I6" s="3" t="str">
        <x:v>variable</x:v>
      </x:c>
      <x:c r="J6" s="3" t="str">
        <x:v>q24/q12/q8/q6</x:v>
      </x:c>
      <x:c r="K6" s="3" t="str">
        <x:v>HAD</x:v>
      </x:c>
      <x:c r="L6" s="3" t="str">
        <x:v>Pousse-seringue électrique HAD ; location par jour ; concentration calculée sur 24 mL.</x:v>
      </x:c>
    </x:row>
    <x:row r="7" ht="33.95000076293945" customHeight="1">
      <x:c r="A7" s="3" t="str">
        <x:v>RYTHMIC_CONT</x:v>
      </x:c>
      <x:c r="B7" s="3" t="str">
        <x:v>Pompe Rythmic / Micrel</x:v>
      </x:c>
      <x:c r="C7" s="3" t="str">
        <x:v>continu</x:v>
      </x:c>
      <x:c r="D7" s="3" t="str">
        <x:v>100 ou 200</x:v>
      </x:c>
      <x:c r="E7" s="3" t="n">
        <x:v>24</x:v>
      </x:c>
      <x:c r="F7" s="3" t="str">
        <x:v>oui</x:v>
      </x:c>
      <x:c r="G7" s="3" t="str">
        <x:v>oui</x:v>
      </x:c>
      <x:c r="H7" s="3" t="str">
        <x:v>non</x:v>
      </x:c>
      <x:c r="I7" s="3" t="n">
        <x:v>1</x:v>
      </x:c>
      <x:c r="J7" s="3" t="str">
        <x:v>q24/q12</x:v>
      </x:c>
      <x:c r="K7" s="3" t="str">
        <x:v>HAD</x:v>
      </x:c>
      <x:c r="L7" s="3" t="str">
        <x:v>HAD uniquement ; location par jour + DM captif.</x:v>
      </x:c>
    </x:row>
    <x:row r="8" ht="33.95000076293945" customHeight="1">
      <x:c r="A8" s="3" t="str">
        <x:v>ANAPA_CONT</x:v>
      </x:c>
      <x:c r="B8" s="3" t="str">
        <x:v>ANAPA</x:v>
      </x:c>
      <x:c r="C8" s="3" t="str">
        <x:v>continu</x:v>
      </x:c>
      <x:c r="D8" s="3" t="n">
        <x:v>250</x:v>
      </x:c>
      <x:c r="E8" s="3" t="n">
        <x:v>12</x:v>
      </x:c>
      <x:c r="F8" s="3" t="str">
        <x:v>non</x:v>
      </x:c>
      <x:c r="G8" s="3" t="str">
        <x:v>non</x:v>
      </x:c>
      <x:c r="H8" s="3" t="str">
        <x:v>oui</x:v>
      </x:c>
      <x:c r="I8" s="3" t="n">
        <x:v>2</x:v>
      </x:c>
      <x:c r="J8" s="3" t="str">
        <x:v>q12</x:v>
      </x:c>
      <x:c r="K8" s="3" t="str">
        <x:v>HOSPITALIER/HAD</x:v>
      </x:c>
      <x:c r="L8" s="3" t="str">
        <x:v>DM unique.</x:v>
      </x:c>
    </x:row>
    <x:row r="9" ht="33.95000076293945" customHeight="1">
      <x:c r="A9" s="3" t="str">
        <x:v>NEOPUMP_CONT</x:v>
      </x:c>
      <x:c r="B9" s="3" t="str">
        <x:v>NEOPUMP</x:v>
      </x:c>
      <x:c r="C9" s="3" t="str">
        <x:v>continu</x:v>
      </x:c>
      <x:c r="D9" s="3" t="n">
        <x:v>500</x:v>
      </x:c>
      <x:c r="E9" s="3" t="str">
        <x:v>12 ou 24</x:v>
      </x:c>
      <x:c r="F9" s="3" t="str">
        <x:v>non</x:v>
      </x:c>
      <x:c r="G9" s="3" t="str">
        <x:v>non</x:v>
      </x:c>
      <x:c r="H9" s="3" t="str">
        <x:v>oui</x:v>
      </x:c>
      <x:c r="I9" s="3" t="str">
        <x:v>1 ou 2</x:v>
      </x:c>
      <x:c r="J9" s="3" t="str">
        <x:v>q24/q12</x:v>
      </x:c>
      <x:c r="K9" s="3" t="str">
        <x:v>HOSPITALIER/HAD</x:v>
      </x:c>
      <x:c r="L9" s="3" t="str">
        <x:v>DM unique.</x:v>
      </x:c>
    </x:row>
    <x:row r="10" ht="33.95000076293945" customHeight="1">
      <x:c r="A10" s="3" t="str">
        <x:v>POCHE_DISCONT</x:v>
      </x:c>
      <x:c r="B10" s="3" t="str">
        <x:v>Poche classique discontinue</x:v>
      </x:c>
      <x:c r="C10" s="3" t="str">
        <x:v>discontinu</x:v>
      </x:c>
      <x:c r="D10" s="3" t="str">
        <x:v>variable</x:v>
      </x:c>
      <x:c r="E10" s="3" t="str">
        <x:v>administration courte</x:v>
      </x:c>
      <x:c r="F10" s="3" t="str">
        <x:v>non</x:v>
      </x:c>
      <x:c r="G10" s="3" t="str">
        <x:v>non</x:v>
      </x:c>
      <x:c r="H10" s="3" t="str">
        <x:v>oui</x:v>
      </x:c>
      <x:c r="I10" s="3" t="str">
        <x:v>nb administrations/j</x:v>
      </x:c>
      <x:c r="J10" s="3" t="str">
        <x:v>x1 à x6/j</x:v>
      </x:c>
      <x:c r="K10" s="3" t="str">
        <x:v>HOSPITALIER/HAD</x:v>
      </x:c>
      <x:c r="L10" s="3" t="str">
        <x:v>Discontinu : poche classique uniquement.</x:v>
      </x:c>
    </x:row>
  </x:sheetData>
  <x:mergeCells>
    <x:mergeCell ref="A1:L1"/>
    <x:mergeCell ref="A2:L2"/>
  </x:mergeCells>
  <x:dataValidations count="3">
    <x:dataValidation type="list" sqref="C4:C200">
      <x:formula1>"continu,discontinu"</x:formula1>
    </x:dataValidation>
    <x:dataValidation type="list" sqref="F4:H200">
      <x:formula1>"oui,non"</x:formula1>
    </x:dataValidation>
    <x:dataValidation type="list" sqref="K4:K200">
      <x:formula1>"HOSPITALIER,HAD,HOSPITALIER/HAD"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3287cc6a0048fb"/>
  </x:tableParts>
</x:worksheet>
</file>

<file path=xl/worksheets/sheet2.xml><?xml version="1.0" encoding="utf-8"?>
<x:worksheet xmlns:x="http://schemas.openxmlformats.org/spreadsheetml/2006/main">
  <x:sheetFormatPr baseColWidth="10" defaultColWidth="9" defaultRowHeight="14.25"/>
  <x:cols>
    <x:col min="1" max="1" width="120.86000061035156" hidden="0" customWidth="1"/>
    <x:col min="2" max="2" width="28.1299991607666" hidden="0" customWidth="1"/>
    <x:col min="3" max="3" width="37.41999816894531" hidden="0" customWidth="1"/>
    <x:col min="4" max="4" width="18.440000534057617" hidden="0" customWidth="1"/>
    <x:col min="5" max="5" width="22.06999969482422" hidden="0" customWidth="1"/>
    <x:col min="6" max="6" width="21.399999618530273" hidden="0" customWidth="1"/>
    <x:col min="7" max="7" width="24.360000610351562" hidden="0" customWidth="1"/>
    <x:col min="8" max="8" width="90.58000183105469" hidden="0" customWidth="1"/>
  </x:cols>
  <x:sheetData>
    <x:row r="1" ht="27.950000762939453" customHeight="1">
      <x:c r="A1" s="57" t="str">
        <x:v>Matériel par méthode — panier de consommables</x:v>
      </x:c>
      <x:c r="B1" s="57"/>
      <x:c r="C1" s="57"/>
      <x:c r="D1" s="57"/>
      <x:c r="E1" s="57"/>
      <x:c r="F1" s="57"/>
      <x:c r="G1" s="57"/>
      <x:c r="H1" s="57"/>
    </x:row>
    <x:row r="2" ht="42" customHeight="1">
      <x:c r="A2" s="14" t="str">
        <x:v>Chaque ligne représente un item consommé par administration/perfusion. Le moteur multiplie par le nombre réel de perfusions/changements par jour.</x:v>
      </x:c>
      <x:c r="B2" s="14"/>
      <x:c r="C2" s="14"/>
      <x:c r="D2" s="14"/>
      <x:c r="E2" s="14"/>
      <x:c r="F2" s="14"/>
      <x:c r="G2" s="14"/>
      <x:c r="H2" s="14"/>
    </x:row>
    <x:row r="3" ht="30">
      <x:c r="A3" s="58" t="str">
        <x:v>methode_id</x:v>
      </x:c>
      <x:c r="B3" s="58" t="str">
        <x:v>item_id</x:v>
      </x:c>
      <x:c r="C3" s="58" t="str">
        <x:v>item_libelle</x:v>
      </x:c>
      <x:c r="D3" s="58" t="str">
        <x:v>categorie</x:v>
      </x:c>
      <x:c r="E3" s="58" t="str">
        <x:v>quantite_par_perfusion</x:v>
      </x:c>
      <x:c r="F3" s="58" t="str">
        <x:v>inclus_dans_dm_captif</x:v>
      </x:c>
      <x:c r="G3" s="58" t="str">
        <x:v>a_compter</x:v>
      </x:c>
      <x:c r="H3" s="58" t="str">
        <x:v>commentaire</x:v>
      </x:c>
    </x:row>
    <x:row r="4" ht="33.95000076293945" customHeight="1">
      <x:c r="A4" s="3" t="str">
        <x:v>POCHE_VOL_CONT</x:v>
      </x:c>
      <x:c r="B4" s="3" t="str">
        <x:v>POCHE_NACL_G5_VARIABLE</x:v>
      </x:c>
      <x:c r="C4" s="3" t="str">
        <x:v>Poche NaCl/G5 volume selon moteur</x:v>
      </x:c>
      <x:c r="D4" s="3" t="str">
        <x:v>contenant/solvant final</x:v>
      </x:c>
      <x:c r="E4" s="3" t="n">
        <x:v>1</x:v>
      </x:c>
      <x:c r="F4" s="3" t="str">
        <x:v>non</x:v>
      </x:c>
      <x:c r="G4" s="3" t="str">
        <x:v>oui</x:v>
      </x:c>
      <x:c r="H4" s="3" t="str">
        <x:v>Continu : poche en pompe volumétrique classique ; le moteur choisit le plus petit volume compatible par solvant.</x:v>
      </x:c>
    </x:row>
    <x:row r="5" ht="33.95000076293945" customHeight="1">
      <x:c r="A5" s="3" t="str">
        <x:v>POCHE_VOL_CONT</x:v>
      </x:c>
      <x:c r="B5" s="3" t="str">
        <x:v>TUBULURE_POMPE_VOL</x:v>
      </x:c>
      <x:c r="C5" s="3" t="str">
        <x:v>Tubulure pompe volumétrique</x:v>
      </x:c>
      <x:c r="D5" s="3" t="str">
        <x:v>administration</x:v>
      </x:c>
      <x:c r="E5" s="3" t="n">
        <x:v>1</x:v>
      </x:c>
      <x:c r="F5" s="3" t="str">
        <x:v>non</x:v>
      </x:c>
      <x:c r="G5" s="3" t="str">
        <x:v>oui</x:v>
      </x:c>
      <x:c r="H5" s="3" t="str">
        <x:v>Tubulure spécifique pompe volumétrique.</x:v>
      </x:c>
    </x:row>
    <x:row r="6" ht="33.95000076293945" customHeight="1">
      <x:c r="A6" s="3" t="str">
        <x:v>POCHE_VOL_CONT</x:v>
      </x:c>
      <x:c r="B6" s="3" t="str">
        <x:v>PROLONGATEUR_STANDARD</x:v>
      </x:c>
      <x:c r="C6" s="3" t="str">
        <x:v>Prolongateur standard</x:v>
      </x:c>
      <x:c r="D6" s="3" t="str">
        <x:v>administration</x:v>
      </x:c>
      <x:c r="E6" s="3" t="n">
        <x:v>1</x:v>
      </x:c>
      <x:c r="F6" s="3" t="str">
        <x:v>non</x:v>
      </x:c>
      <x:c r="G6" s="3" t="str">
        <x:v>à confirmer</x:v>
      </x:c>
      <x:c r="H6" s="3" t="str">
        <x:v>Selon montage local ; inclus si paramètre inclure_items_a_confirmer = 1.</x:v>
      </x:c>
    </x:row>
    <x:row r="7" ht="33.95000076293945" customHeight="1">
      <x:c r="A7" s="3" t="str">
        <x:v>POCHE_VOL_CONT</x:v>
      </x:c>
      <x:c r="B7" s="3" t="str">
        <x:v>RINCAGE_NACL_10ML</x:v>
      </x:c>
      <x:c r="C7" s="3" t="str">
        <x:v>Rinçage NaCl 10 mL</x:v>
      </x:c>
      <x:c r="D7" s="3" t="str">
        <x:v>rinçage</x:v>
      </x:c>
      <x:c r="E7" s="3" t="n">
        <x:v>1</x:v>
      </x:c>
      <x:c r="F7" s="3" t="str">
        <x:v>non</x:v>
      </x:c>
      <x:c r="G7" s="3" t="str">
        <x:v>oui</x:v>
      </x:c>
      <x:c r="H7" s="3" t="str">
        <x:v>Avant/après selon protocole.</x:v>
      </x:c>
    </x:row>
    <x:row r="8" ht="33.95000076293945" customHeight="1">
      <x:c r="A8" s="3" t="str">
        <x:v>POCHE_VOL_CONT</x:v>
      </x:c>
      <x:c r="B8" s="3" t="str">
        <x:v>ETIQUETTE</x:v>
      </x:c>
      <x:c r="C8" s="3" t="str">
        <x:v>Étiquette préparation</x:v>
      </x:c>
      <x:c r="D8" s="3" t="str">
        <x:v>traçabilité</x:v>
      </x:c>
      <x:c r="E8" s="3" t="n">
        <x:v>1</x:v>
      </x:c>
      <x:c r="F8" s="3" t="str">
        <x:v>non</x:v>
      </x:c>
      <x:c r="G8" s="3" t="str">
        <x:v>oui</x:v>
      </x:c>
      <x:c r="H8" s="3" t="str">
        <x:v>Par administration préparée.</x:v>
      </x:c>
    </x:row>
    <x:row r="9" ht="33.95000076293945" customHeight="1">
      <x:c r="A9" s="3" t="str">
        <x:v>PSE_48_CONT</x:v>
      </x:c>
      <x:c r="B9" s="3" t="str">
        <x:v>SERINGUE_PP_50ML</x:v>
      </x:c>
      <x:c r="C9" s="3" t="str">
        <x:v>Seringue PP 50 mL</x:v>
      </x:c>
      <x:c r="D9" s="3" t="str">
        <x:v>contenant</x:v>
      </x:c>
      <x:c r="E9" s="3" t="n">
        <x:v>1</x:v>
      </x:c>
      <x:c r="F9" s="3" t="str">
        <x:v>non</x:v>
      </x:c>
      <x:c r="G9" s="3" t="str">
        <x:v>oui</x:v>
      </x:c>
      <x:c r="H9" s="3" t="str">
        <x:v>PSE 48 mL intra-hospitalier.</x:v>
      </x:c>
    </x:row>
    <x:row r="10" ht="33.95000076293945" customHeight="1">
      <x:c r="A10" s="3" t="str">
        <x:v>PSE_48_CONT</x:v>
      </x:c>
      <x:c r="B10" s="3" t="str">
        <x:v>POCHE_NACL_G5_VARIABLE</x:v>
      </x:c>
      <x:c r="C10" s="3" t="str">
        <x:v>Poche NaCl/G5 pour dilution/remplissage</x:v>
      </x:c>
      <x:c r="D10" s="3" t="str">
        <x:v>solvant final</x:v>
      </x:c>
      <x:c r="E10" s="3" t="n">
        <x:v>1</x:v>
      </x:c>
      <x:c r="F10" s="3" t="str">
        <x:v>non</x:v>
      </x:c>
      <x:c r="G10" s="3" t="str">
        <x:v>oui</x:v>
      </x:c>
      <x:c r="H10" s="3" t="str">
        <x:v>Le moteur choisit la plus petite poche possible compatible avec la concentration.</x:v>
      </x:c>
    </x:row>
    <x:row r="11" ht="33.95000076293945" customHeight="1">
      <x:c r="A11" s="3" t="str">
        <x:v>PSE_48_CONT</x:v>
      </x:c>
      <x:c r="B11" s="3" t="str">
        <x:v>PROLONGATEUR_PSE</x:v>
      </x:c>
      <x:c r="C11" s="3" t="str">
        <x:v>Prolongateur PSE</x:v>
      </x:c>
      <x:c r="D11" s="3" t="str">
        <x:v>administration</x:v>
      </x:c>
      <x:c r="E11" s="3" t="n">
        <x:v>1</x:v>
      </x:c>
      <x:c r="F11" s="3" t="str">
        <x:v>non</x:v>
      </x:c>
      <x:c r="G11" s="3" t="str">
        <x:v>oui</x:v>
      </x:c>
      <x:c r="H11" s="3" t="str">
        <x:v>Tubulure/prolongateur spécifique PSE.</x:v>
      </x:c>
    </x:row>
    <x:row r="12" ht="33.95000076293945" customHeight="1">
      <x:c r="A12" s="3" t="str">
        <x:v>PSE_48_CONT</x:v>
      </x:c>
      <x:c r="B12" s="3" t="str">
        <x:v>RINCAGE_NACL_10ML</x:v>
      </x:c>
      <x:c r="C12" s="3" t="str">
        <x:v>Rinçage NaCl 10 mL</x:v>
      </x:c>
      <x:c r="D12" s="3" t="str">
        <x:v>rinçage</x:v>
      </x:c>
      <x:c r="E12" s="3" t="n">
        <x:v>1</x:v>
      </x:c>
      <x:c r="F12" s="3" t="str">
        <x:v>non</x:v>
      </x:c>
      <x:c r="G12" s="3" t="str">
        <x:v>oui</x:v>
      </x:c>
      <x:c r="H12" s="3" t="str">
        <x:v>Par changement de seringue.</x:v>
      </x:c>
    </x:row>
    <x:row r="13" ht="33.95000076293945" customHeight="1">
      <x:c r="A13" s="3" t="str">
        <x:v>PSE_48_CONT</x:v>
      </x:c>
      <x:c r="B13" s="3" t="str">
        <x:v>ETIQUETTE</x:v>
      </x:c>
      <x:c r="C13" s="3" t="str">
        <x:v>Étiquette préparation</x:v>
      </x:c>
      <x:c r="D13" s="3" t="str">
        <x:v>traçabilité</x:v>
      </x:c>
      <x:c r="E13" s="3" t="n">
        <x:v>1</x:v>
      </x:c>
      <x:c r="F13" s="3" t="str">
        <x:v>non</x:v>
      </x:c>
      <x:c r="G13" s="3" t="str">
        <x:v>oui</x:v>
      </x:c>
      <x:c r="H13" s="3" t="str">
        <x:v>Par seringue préparée.</x:v>
      </x:c>
    </x:row>
    <x:row r="14" ht="33.95000076293945" customHeight="1">
      <x:c r="A14" s="3" t="str">
        <x:v>PSE_24_HAD_CONT</x:v>
      </x:c>
      <x:c r="B14" s="3" t="str">
        <x:v>SERINGUE_PP_24ML</x:v>
      </x:c>
      <x:c r="C14" s="3" t="str">
        <x:v>Seringue PP 24 mL</x:v>
      </x:c>
      <x:c r="D14" s="3" t="str">
        <x:v>contenant</x:v>
      </x:c>
      <x:c r="E14" s="3" t="n">
        <x:v>1</x:v>
      </x:c>
      <x:c r="F14" s="3" t="str">
        <x:v>non</x:v>
      </x:c>
      <x:c r="G14" s="3" t="str">
        <x:v>oui</x:v>
      </x:c>
      <x:c r="H14" s="3" t="str">
        <x:v>PSE HAD 24 mL ; continu en HAD uniquement.</x:v>
      </x:c>
    </x:row>
    <x:row r="15" ht="33.95000076293945" customHeight="1">
      <x:c r="A15" s="3" t="str">
        <x:v>PSE_24_HAD_CONT</x:v>
      </x:c>
      <x:c r="B15" s="3" t="str">
        <x:v>POCHE_NACL_G5_VARIABLE</x:v>
      </x:c>
      <x:c r="C15" s="3" t="str">
        <x:v>Poche NaCl/G5 pour dilution/remplissage</x:v>
      </x:c>
      <x:c r="D15" s="3" t="str">
        <x:v>solvant final</x:v>
      </x:c>
      <x:c r="E15" s="3" t="n">
        <x:v>1</x:v>
      </x:c>
      <x:c r="F15" s="3" t="str">
        <x:v>non</x:v>
      </x:c>
      <x:c r="G15" s="3" t="str">
        <x:v>oui</x:v>
      </x:c>
      <x:c r="H15" s="3" t="str">
        <x:v>Le moteur choisit la plus petite poche possible compatible avec la concentration.</x:v>
      </x:c>
    </x:row>
    <x:row r="16" ht="33.95000076293945" customHeight="1">
      <x:c r="A16" s="3" t="str">
        <x:v>PSE_24_HAD_CONT</x:v>
      </x:c>
      <x:c r="B16" s="3" t="str">
        <x:v>PROLONGATEUR_PSE</x:v>
      </x:c>
      <x:c r="C16" s="3" t="str">
        <x:v>Prolongateur PSE</x:v>
      </x:c>
      <x:c r="D16" s="3" t="str">
        <x:v>administration</x:v>
      </x:c>
      <x:c r="E16" s="3" t="n">
        <x:v>1</x:v>
      </x:c>
      <x:c r="F16" s="3" t="str">
        <x:v>non</x:v>
      </x:c>
      <x:c r="G16" s="3" t="str">
        <x:v>oui</x:v>
      </x:c>
      <x:c r="H16" s="3" t="str">
        <x:v>Tubulure/prolongateur spécifique PSE.</x:v>
      </x:c>
    </x:row>
    <x:row r="17" ht="33.95000076293945" customHeight="1">
      <x:c r="A17" s="3" t="str">
        <x:v>PSE_24_HAD_CONT</x:v>
      </x:c>
      <x:c r="B17" s="3" t="str">
        <x:v>RINCAGE_NACL_10ML</x:v>
      </x:c>
      <x:c r="C17" s="3" t="str">
        <x:v>Rinçage NaCl 10 mL</x:v>
      </x:c>
      <x:c r="D17" s="3" t="str">
        <x:v>rinçage</x:v>
      </x:c>
      <x:c r="E17" s="3" t="n">
        <x:v>1</x:v>
      </x:c>
      <x:c r="F17" s="3" t="str">
        <x:v>non</x:v>
      </x:c>
      <x:c r="G17" s="3" t="str">
        <x:v>oui</x:v>
      </x:c>
      <x:c r="H17" s="3" t="str">
        <x:v>Par changement de seringue.</x:v>
      </x:c>
    </x:row>
    <x:row r="18" ht="33.95000076293945" customHeight="1">
      <x:c r="A18" s="3" t="str">
        <x:v>PSE_24_HAD_CONT</x:v>
      </x:c>
      <x:c r="B18" s="3" t="str">
        <x:v>ETIQUETTE</x:v>
      </x:c>
      <x:c r="C18" s="3" t="str">
        <x:v>Étiquette préparation</x:v>
      </x:c>
      <x:c r="D18" s="3" t="str">
        <x:v>traçabilité</x:v>
      </x:c>
      <x:c r="E18" s="3" t="n">
        <x:v>1</x:v>
      </x:c>
      <x:c r="F18" s="3" t="str">
        <x:v>non</x:v>
      </x:c>
      <x:c r="G18" s="3" t="str">
        <x:v>oui</x:v>
      </x:c>
      <x:c r="H18" s="3" t="str">
        <x:v>Par seringue préparée.</x:v>
      </x:c>
    </x:row>
    <x:row r="19" ht="33.95000076293945" customHeight="1">
      <x:c r="A19" s="3" t="str">
        <x:v>RYTHMIC_CONT</x:v>
      </x:c>
      <x:c r="B19" s="3" t="str">
        <x:v>RESERVOIR_RYTHMIC_100ML</x:v>
      </x:c>
      <x:c r="C19" s="3" t="str">
        <x:v>Poche/réservoir Rythmic avec tubulure 100 mL</x:v>
      </x:c>
      <x:c r="D19" s="3" t="str">
        <x:v>DM captif</x:v>
      </x:c>
      <x:c r="E19" s="3" t="n">
        <x:v>1</x:v>
      </x:c>
      <x:c r="F19" s="3" t="str">
        <x:v>oui</x:v>
      </x:c>
      <x:c r="G19" s="3" t="str">
        <x:v>selon volume</x:v>
      </x:c>
      <x:c r="H19" s="3" t="str">
        <x:v>DM captif ; inclut la tubulure/prolongateur captif si le coût/ACV du set complet est renseigné.</x:v>
      </x:c>
    </x:row>
    <x:row r="20" ht="33.95000076293945" customHeight="1">
      <x:c r="A20" s="3" t="str">
        <x:v>RYTHMIC_CONT</x:v>
      </x:c>
      <x:c r="B20" s="3" t="str">
        <x:v>RESERVOIR_RYTHMIC_200ML</x:v>
      </x:c>
      <x:c r="C20" s="3" t="str">
        <x:v>Poche/réservoir Rythmic avec tubulure 200 mL</x:v>
      </x:c>
      <x:c r="D20" s="3" t="str">
        <x:v>DM captif</x:v>
      </x:c>
      <x:c r="E20" s="3" t="n">
        <x:v>1</x:v>
      </x:c>
      <x:c r="F20" s="3" t="str">
        <x:v>oui</x:v>
      </x:c>
      <x:c r="G20" s="3" t="str">
        <x:v>selon volume</x:v>
      </x:c>
      <x:c r="H20" s="3" t="str">
        <x:v>DM captif ; inclut la tubulure/prolongateur captif si le coût/ACV du set complet est renseigné.</x:v>
      </x:c>
    </x:row>
    <x:row r="21" ht="33.95000076293945" customHeight="1">
      <x:c r="A21" s="3" t="str">
        <x:v>RYTHMIC_CONT</x:v>
      </x:c>
      <x:c r="B21" s="3" t="str">
        <x:v>POCHE_NACL_G5_VARIABLE</x:v>
      </x:c>
      <x:c r="C21" s="3" t="str">
        <x:v>Poche NaCl/G5 pour remplissage Rythmic</x:v>
      </x:c>
      <x:c r="D21" s="3" t="str">
        <x:v>solvant final</x:v>
      </x:c>
      <x:c r="E21" s="3" t="n">
        <x:v>1</x:v>
      </x:c>
      <x:c r="F21" s="3" t="str">
        <x:v>non</x:v>
      </x:c>
      <x:c r="G21" s="3" t="str">
        <x:v>oui</x:v>
      </x:c>
      <x:c r="H21" s="3" t="str">
        <x:v>Le moteur choisit la plus petite poche possible compatible avec la concentration.</x:v>
      </x:c>
    </x:row>
    <x:row r="22" ht="33.95000076293945" customHeight="1">
      <x:c r="A22" s="3" t="str">
        <x:v>RYTHMIC_CONT</x:v>
      </x:c>
      <x:c r="B22" s="3" t="str">
        <x:v>PROLONGATEUR_CAPTIF_RYTHMIC</x:v>
      </x:c>
      <x:c r="C22" s="3" t="str">
        <x:v>Prolongateur captif Rythmic</x:v>
      </x:c>
      <x:c r="D22" s="3" t="str">
        <x:v>administration captif</x:v>
      </x:c>
      <x:c r="E22" s="3" t="n">
        <x:v>1</x:v>
      </x:c>
      <x:c r="F22" s="3" t="str">
        <x:v>oui</x:v>
      </x:c>
      <x:c r="G22" s="3" t="str">
        <x:v>non si inclus dans DM captif</x:v>
      </x:c>
      <x:c r="H22" s="3" t="str">
        <x:v>À compter uniquement si le réservoir Rythmic n’intègre pas déjà le prolongateur captif.</x:v>
      </x:c>
    </x:row>
    <x:row r="23" ht="33.95000076293945" customHeight="1">
      <x:c r="A23" s="3" t="str">
        <x:v>RYTHMIC_CONT</x:v>
      </x:c>
      <x:c r="B23" s="3" t="str">
        <x:v>RINCAGE_NACL_10ML</x:v>
      </x:c>
      <x:c r="C23" s="3" t="str">
        <x:v>Rinçage NaCl 10 mL</x:v>
      </x:c>
      <x:c r="D23" s="3" t="str">
        <x:v>rinçage</x:v>
      </x:c>
      <x:c r="E23" s="3" t="n">
        <x:v>1</x:v>
      </x:c>
      <x:c r="F23" s="3" t="str">
        <x:v>non</x:v>
      </x:c>
      <x:c r="G23" s="3" t="str">
        <x:v>oui</x:v>
      </x:c>
      <x:c r="H23" s="3" t="str">
        <x:v>Par changement de réservoir.</x:v>
      </x:c>
    </x:row>
    <x:row r="24">
      <x:c r="A24" s="3" t="str">
        <x:v>RYTHMIC_CONT</x:v>
      </x:c>
      <x:c r="B24" s="3" t="str">
        <x:v>ETIQUETTE</x:v>
      </x:c>
      <x:c r="C24" s="3" t="str">
        <x:v>Étiquette préparation</x:v>
      </x:c>
      <x:c r="D24" s="3" t="str">
        <x:v>traçabilité</x:v>
      </x:c>
      <x:c r="E24" s="3" t="n">
        <x:v>1</x:v>
      </x:c>
      <x:c r="F24" s="3" t="str">
        <x:v>non</x:v>
      </x:c>
      <x:c r="G24" s="3" t="str">
        <x:v>oui</x:v>
      </x:c>
      <x:c r="H24" s="3" t="str">
        <x:v>Par réservoir préparé.</x:v>
      </x:c>
    </x:row>
    <x:row r="25">
      <x:c r="A25" s="3" t="str">
        <x:v>ANAPA_CONT</x:v>
      </x:c>
      <x:c r="B25" s="3" t="str">
        <x:v>DISPOSITIF_ANAPA_250</x:v>
      </x:c>
      <x:c r="C25" s="3" t="str">
        <x:v>ANAPA 250 mL</x:v>
      </x:c>
      <x:c r="D25" s="3" t="str">
        <x:v>DM unique</x:v>
      </x:c>
      <x:c r="E25" s="3" t="n">
        <x:v>1</x:v>
      </x:c>
      <x:c r="F25" s="3" t="str">
        <x:v>non</x:v>
      </x:c>
      <x:c r="G25" s="3" t="str">
        <x:v>oui</x:v>
      </x:c>
      <x:c r="H25" s="3" t="str">
        <x:v>DM complet à usage unique.</x:v>
      </x:c>
    </x:row>
    <x:row r="26">
      <x:c r="A26" s="3" t="str">
        <x:v>ANAPA_CONT</x:v>
      </x:c>
      <x:c r="B26" s="3" t="str">
        <x:v>POCHE_NACL_G5_VARIABLE</x:v>
      </x:c>
      <x:c r="C26" s="3" t="str">
        <x:v>Poche NaCl/G5 pour remplissage ANAPA</x:v>
      </x:c>
      <x:c r="D26" s="3" t="str">
        <x:v>solvant final</x:v>
      </x:c>
      <x:c r="E26" s="3" t="n">
        <x:v>1</x:v>
      </x:c>
      <x:c r="F26" s="3" t="str">
        <x:v>non</x:v>
      </x:c>
      <x:c r="G26" s="3" t="str">
        <x:v>oui</x:v>
      </x:c>
      <x:c r="H26" s="3" t="str">
        <x:v>Le moteur choisit la plus petite poche possible compatible avec la concentration.</x:v>
      </x:c>
    </x:row>
    <x:row r="27">
      <x:c r="A27" s="3" t="str">
        <x:v>ANAPA_CONT</x:v>
      </x:c>
      <x:c r="B27" s="3" t="str">
        <x:v>RINCAGE_NACL_10ML</x:v>
      </x:c>
      <x:c r="C27" s="3" t="str">
        <x:v>Rinçage NaCl 10 mL</x:v>
      </x:c>
      <x:c r="D27" s="3" t="str">
        <x:v>rinçage</x:v>
      </x:c>
      <x:c r="E27" s="3" t="n">
        <x:v>1</x:v>
      </x:c>
      <x:c r="F27" s="3" t="str">
        <x:v>non</x:v>
      </x:c>
      <x:c r="G27" s="3" t="str">
        <x:v>oui</x:v>
      </x:c>
      <x:c r="H27" s="3" t="str">
        <x:v>Par dispositif.</x:v>
      </x:c>
    </x:row>
    <x:row r="28">
      <x:c r="A28" s="3" t="str">
        <x:v>ANAPA_CONT</x:v>
      </x:c>
      <x:c r="B28" s="3" t="str">
        <x:v>ETIQUETTE</x:v>
      </x:c>
      <x:c r="C28" s="3" t="str">
        <x:v>Étiquette préparation</x:v>
      </x:c>
      <x:c r="D28" s="3" t="str">
        <x:v>traçabilité</x:v>
      </x:c>
      <x:c r="E28" s="3" t="n">
        <x:v>1</x:v>
      </x:c>
      <x:c r="F28" s="3" t="str">
        <x:v>non</x:v>
      </x:c>
      <x:c r="G28" s="3" t="str">
        <x:v>oui</x:v>
      </x:c>
      <x:c r="H28" s="3" t="str">
        <x:v>Par dispositif préparé.</x:v>
      </x:c>
    </x:row>
    <x:row r="29">
      <x:c r="A29" s="3" t="str">
        <x:v>NEOPUMP_CONT</x:v>
      </x:c>
      <x:c r="B29" s="3" t="str">
        <x:v>NEOPUMP_500</x:v>
      </x:c>
      <x:c r="C29" s="3" t="str">
        <x:v>NEOPUMP 500 mL</x:v>
      </x:c>
      <x:c r="D29" s="3" t="str">
        <x:v>DM unique</x:v>
      </x:c>
      <x:c r="E29" s="3" t="n">
        <x:v>1</x:v>
      </x:c>
      <x:c r="F29" s="3" t="str">
        <x:v>non</x:v>
      </x:c>
      <x:c r="G29" s="3" t="str">
        <x:v>oui</x:v>
      </x:c>
      <x:c r="H29" s="3" t="str">
        <x:v>DM complet à usage unique avec tubulure intégrée.</x:v>
      </x:c>
    </x:row>
    <x:row r="30">
      <x:c r="A30" s="3" t="str">
        <x:v>NEOPUMP_CONT</x:v>
      </x:c>
      <x:c r="B30" s="3" t="str">
        <x:v>POCHE_NACL_G5_VARIABLE</x:v>
      </x:c>
      <x:c r="C30" s="3" t="str">
        <x:v>Poche NaCl/G5 pour remplissage NEOPUMP</x:v>
      </x:c>
      <x:c r="D30" s="3" t="str">
        <x:v>solvant final</x:v>
      </x:c>
      <x:c r="E30" s="3" t="n">
        <x:v>1</x:v>
      </x:c>
      <x:c r="F30" s="3" t="str">
        <x:v>non</x:v>
      </x:c>
      <x:c r="G30" s="3" t="str">
        <x:v>oui</x:v>
      </x:c>
      <x:c r="H30" s="3" t="str">
        <x:v>Le moteur choisit la plus petite poche possible compatible avec la concentration.</x:v>
      </x:c>
    </x:row>
    <x:row r="31">
      <x:c r="A31" s="3" t="str">
        <x:v>NEOPUMP_CONT</x:v>
      </x:c>
      <x:c r="B31" s="3" t="str">
        <x:v>RINCAGE_NACL_10ML</x:v>
      </x:c>
      <x:c r="C31" s="3" t="str">
        <x:v>Rinçage NaCl 10 mL</x:v>
      </x:c>
      <x:c r="D31" s="3" t="str">
        <x:v>rinçage</x:v>
      </x:c>
      <x:c r="E31" s="3" t="n">
        <x:v>1</x:v>
      </x:c>
      <x:c r="F31" s="3" t="str">
        <x:v>non</x:v>
      </x:c>
      <x:c r="G31" s="3" t="str">
        <x:v>oui</x:v>
      </x:c>
      <x:c r="H31" s="3" t="str">
        <x:v>Par dispositif.</x:v>
      </x:c>
    </x:row>
    <x:row r="32">
      <x:c r="A32" s="3" t="str">
        <x:v>NEOPUMP_CONT</x:v>
      </x:c>
      <x:c r="B32" s="3" t="str">
        <x:v>ETIQUETTE</x:v>
      </x:c>
      <x:c r="C32" s="3" t="str">
        <x:v>Étiquette préparation</x:v>
      </x:c>
      <x:c r="D32" s="3" t="str">
        <x:v>traçabilité</x:v>
      </x:c>
      <x:c r="E32" s="3" t="n">
        <x:v>1</x:v>
      </x:c>
      <x:c r="F32" s="3" t="str">
        <x:v>non</x:v>
      </x:c>
      <x:c r="G32" s="3" t="str">
        <x:v>oui</x:v>
      </x:c>
      <x:c r="H32" s="3" t="str">
        <x:v>Par dispositif préparé.</x:v>
      </x:c>
    </x:row>
    <x:row r="33">
      <x:c r="A33" s="3" t="str">
        <x:v>POCHE_DISCONT</x:v>
      </x:c>
      <x:c r="B33" s="3" t="str">
        <x:v>POCHE_NACL_G5_VARIABLE</x:v>
      </x:c>
      <x:c r="C33" s="3" t="str">
        <x:v>Poche NaCl/G5 volume selon moteur</x:v>
      </x:c>
      <x:c r="D33" s="3" t="str">
        <x:v>contenant/solvant final</x:v>
      </x:c>
      <x:c r="E33" s="3" t="n">
        <x:v>1</x:v>
      </x:c>
      <x:c r="F33" s="3" t="str">
        <x:v>non</x:v>
      </x:c>
      <x:c r="G33" s="3" t="str">
        <x:v>oui</x:v>
      </x:c>
      <x:c r="H33" s="3" t="str">
        <x:v>Discontinu : poche classique uniquement ; plus petit volume compatible par solvant.</x:v>
      </x:c>
    </x:row>
    <x:row r="34">
      <x:c r="A34" s="3" t="str">
        <x:v>POCHE_DISCONT</x:v>
      </x:c>
      <x:c r="B34" s="3" t="str">
        <x:v>PERFUSEUR_STANDARD</x:v>
      </x:c>
      <x:c r="C34" s="3" t="str">
        <x:v>Perfuseur standard</x:v>
      </x:c>
      <x:c r="D34" s="3" t="str">
        <x:v>administration</x:v>
      </x:c>
      <x:c r="E34" s="3" t="n">
        <x:v>1</x:v>
      </x:c>
      <x:c r="F34" s="3" t="str">
        <x:v>non</x:v>
      </x:c>
      <x:c r="G34" s="3" t="str">
        <x:v>oui</x:v>
      </x:c>
      <x:c r="H34" s="3" t="str">
        <x:v>Gravité ou pompe selon pratique locale.</x:v>
      </x:c>
    </x:row>
    <x:row r="35">
      <x:c r="A35" s="3" t="str">
        <x:v>POCHE_DISCONT</x:v>
      </x:c>
      <x:c r="B35" s="3" t="str">
        <x:v>RINCAGE_NACL_10ML</x:v>
      </x:c>
      <x:c r="C35" s="3" t="str">
        <x:v>Rinçage NaCl 10 mL</x:v>
      </x:c>
      <x:c r="D35" s="3" t="str">
        <x:v>rinçage</x:v>
      </x:c>
      <x:c r="E35" s="3" t="n">
        <x:v>1</x:v>
      </x:c>
      <x:c r="F35" s="3" t="str">
        <x:v>non</x:v>
      </x:c>
      <x:c r="G35" s="3" t="str">
        <x:v>oui</x:v>
      </x:c>
      <x:c r="H35" s="3" t="str">
        <x:v>Par administration.</x:v>
      </x:c>
    </x:row>
    <x:row r="36">
      <x:c r="A36" s="3" t="str">
        <x:v>POCHE_DISCONT</x:v>
      </x:c>
      <x:c r="B36" s="3" t="str">
        <x:v>ETIQUETTE</x:v>
      </x:c>
      <x:c r="C36" s="3" t="str">
        <x:v>Étiquette préparation</x:v>
      </x:c>
      <x:c r="D36" s="3" t="str">
        <x:v>traçabilité</x:v>
      </x:c>
      <x:c r="E36" s="3" t="n">
        <x:v>1</x:v>
      </x:c>
      <x:c r="F36" s="3" t="str">
        <x:v>non</x:v>
      </x:c>
      <x:c r="G36" s="3" t="str">
        <x:v>oui</x:v>
      </x:c>
      <x:c r="H36" s="3" t="str">
        <x:v>Par poche préparée.</x:v>
      </x:c>
    </x:row>
  </x:sheetData>
  <x:mergeCells>
    <x:mergeCell ref="A1:H1"/>
    <x:mergeCell ref="A2:H2"/>
  </x:mergeCells>
  <x:dataValidations count="2">
    <x:dataValidation type="list" sqref="F4:F300">
      <x:formula1>"oui,non"</x:formula1>
    </x:dataValidation>
    <x:dataValidation type="list" sqref="G4:G300">
      <x:formula1>"oui,non,à confirmer,non si inclus dans DM captif"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263ace151e493d"/>
  </x:tableParts>
</x:worksheet>
</file>

<file path=xl/worksheets/sheet3.xml><?xml version="1.0" encoding="utf-8"?>
<x:worksheet xmlns:x="http://schemas.openxmlformats.org/spreadsheetml/2006/main">
  <x:sheetFormatPr baseColWidth="10" defaultColWidth="9" defaultRowHeight="14.25"/>
  <x:cols>
    <x:col min="1" max="1" width="106.86000061035156" hidden="0" customWidth="1"/>
    <x:col min="2" max="2" width="37.41999816894531" hidden="0" customWidth="1"/>
    <x:col min="3" max="3" width="17.360000610351562" hidden="0" customWidth="1"/>
    <x:col min="4" max="4" width="15.75" hidden="0" customWidth="1"/>
    <x:col min="5" max="5" width="9.020000457763672" hidden="0" customWidth="1"/>
    <x:col min="6" max="6" width="12.920000076293945" hidden="0" customWidth="1"/>
    <x:col min="7" max="7" width="12.649999618530273" hidden="0" customWidth="1"/>
    <x:col min="9" max="9" width="18.030000686645508" hidden="0" customWidth="1"/>
    <x:col min="10" max="10" width="94.88999938964844" hidden="0" customWidth="1"/>
    <x:col min="8" max="8" width="12.649999618530273" hidden="0" customWidth="1"/>
  </x:cols>
  <x:sheetData>
    <x:row r="1" ht="27.950000762939453" customHeight="1">
      <x:c r="A1" s="28" t="s">
        <x:v>0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 ht="42" customHeight="1">
      <x:c r="A2" s="14" t="s">
        <x:v>1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3" ht="30">
      <x:c r="A3" s="54" t="s">
        <x:v>2</x:v>
      </x:c>
      <x:c r="B3" s="54" t="s">
        <x:v>3</x:v>
      </x:c>
      <x:c r="C3" s="54" t="s">
        <x:v>4</x:v>
      </x:c>
      <x:c r="D3" s="54" t="s">
        <x:v>5</x:v>
      </x:c>
      <x:c r="E3" s="54" t="s">
        <x:v>6</x:v>
      </x:c>
      <x:c r="F3" s="54" t="s">
        <x:v>7</x:v>
      </x:c>
      <x:c r="G3" s="54" t="s">
        <x:v>8</x:v>
      </x:c>
      <x:c r="H3" s="54" t="s">
        <x:v>9</x:v>
      </x:c>
      <x:c r="I3" s="54" t="s">
        <x:v>10</x:v>
      </x:c>
      <x:c r="J3" s="54" t="s">
        <x:v>11</x:v>
      </x:c>
    </x:row>
    <x:row r="4" ht="33.95000076293945" customHeight="1">
      <x:c r="A4" s="3" t="s">
        <x:v>12</x:v>
      </x:c>
      <x:c r="B4" s="3" t="s">
        <x:v>13</x:v>
      </x:c>
      <x:c r="C4" s="5" t="n">
        <x:f>0.5*1.02</x:f>
        <x:v>0.51</x:v>
      </x:c>
      <x:c r="D4" s="5">
        <x:v>0.20100000000000001</x:v>
      </x:c>
      <x:c r="E4" s="9">
        <x:v>8</x:v>
      </x:c>
      <x:c r="F4" s="3" t="s">
        <x:v>14</x:v>
      </x:c>
      <x:c r="G4" s="3" t="s">
        <x:v>15</x:v>
      </x:c>
      <x:c r="H4" s="3" t="s">
        <x:v>16</x:v>
      </x:c>
      <x:c r="I4" s="3" t="s">
        <x:v>17</x:v>
      </x:c>
      <x:c r="J4" s="3"/>
    </x:row>
    <x:row r="5" ht="33.95000076293945" customHeight="1">
      <x:c r="A5" s="3" t="s">
        <x:v>18</x:v>
      </x:c>
      <x:c r="B5" s="3" t="s">
        <x:v>19</x:v>
      </x:c>
      <x:c r="C5" s="5" t="n">
        <x:f>0.53*1.02</x:f>
        <x:v>0.5406000000000001</x:v>
      </x:c>
      <x:c r="D5" s="5">
        <x:v>0.27800000000000002</x:v>
      </x:c>
      <x:c r="E5" s="9">
        <x:v>10</x:v>
      </x:c>
      <x:c r="F5" s="3" t="s">
        <x:v>14</x:v>
      </x:c>
      <x:c r="G5" s="3" t="s">
        <x:v>15</x:v>
      </x:c>
      <x:c r="H5" s="3" t="s">
        <x:v>16</x:v>
      </x:c>
      <x:c r="I5" s="3" t="s">
        <x:v>17</x:v>
      </x:c>
      <x:c r="J5" s="3"/>
    </x:row>
    <x:row r="6" ht="33.95000076293945" customHeight="1">
      <x:c r="A6" s="3" t="s">
        <x:v>20</x:v>
      </x:c>
      <x:c r="B6" s="3" t="s">
        <x:v>21</x:v>
      </x:c>
      <x:c r="C6" s="5" t="n">
        <x:f>0.697*1.021</x:f>
        <x:v>0.7116369999999999</x:v>
      </x:c>
      <x:c r="D6" s="5">
        <x:v>0.50700000000000001</x:v>
      </x:c>
      <x:c r="E6" s="9">
        <x:v>14</x:v>
      </x:c>
      <x:c r="F6" s="3" t="s">
        <x:v>14</x:v>
      </x:c>
      <x:c r="G6" s="3" t="s">
        <x:v>15</x:v>
      </x:c>
      <x:c r="H6" s="3" t="s">
        <x:v>16</x:v>
      </x:c>
      <x:c r="I6" s="3" t="s">
        <x:v>17</x:v>
      </x:c>
      <x:c r="J6" s="3"/>
    </x:row>
    <x:row r="7" ht="33.95000076293945" customHeight="1">
      <x:c r="A7" s="3" t="s">
        <x:v>22</x:v>
      </x:c>
      <x:c r="B7" s="3" t="s">
        <x:v>23</x:v>
      </x:c>
      <x:c r="C7" s="5" t="n">
        <x:f>0.714*1.021</x:f>
        <x:v>0.7289939999999999</x:v>
      </x:c>
      <x:c r="D7" s="5">
        <x:v>0.88900000000000001</x:v>
      </x:c>
      <x:c r="E7" s="9">
        <x:v>20</x:v>
      </x:c>
      <x:c r="F7" s="3" t="s">
        <x:v>14</x:v>
      </x:c>
      <x:c r="G7" s="3" t="s">
        <x:v>15</x:v>
      </x:c>
      <x:c r="H7" s="3" t="s">
        <x:v>16</x:v>
      </x:c>
      <x:c r="I7" s="3" t="s">
        <x:v>17</x:v>
      </x:c>
      <x:c r="J7" s="3"/>
    </x:row>
    <x:row r="8" ht="33.95000076293945" customHeight="1">
      <x:c r="A8" s="3" t="s">
        <x:v>24</x:v>
      </x:c>
      <x:c r="B8" s="3" t="s">
        <x:v>25</x:v>
      </x:c>
      <x:c r="C8" s="5" t="n">
        <x:f>0.176*1.2</x:f>
        <x:v>0.21119999999999997</x:v>
      </x:c>
      <x:c r="D8" s="5">
        <x:v>6.9000000000000006E-2</x:v>
      </x:c>
      <x:c r="E8" s="9">
        <x:v>12</x:v>
      </x:c>
      <x:c r="F8" s="3" t="s">
        <x:v>14</x:v>
      </x:c>
      <x:c r="G8" s="3" t="s">
        <x:v>15</x:v>
      </x:c>
      <x:c r="H8" s="3" t="s">
        <x:v>16</x:v>
      </x:c>
      <x:c r="I8" s="3" t="s">
        <x:v>17</x:v>
      </x:c>
      <x:c r="J8" s="3" t="str">
        <x:v>Utilisée aussi comme proxy de seringue de reconstitution par défaut dans l'onglet ACV ATB ; à adapter si seringue 10/20 mL réelle.</x:v>
      </x:c>
    </x:row>
    <x:row r="9" ht="33.95000076293945" customHeight="1">
      <x:c r="A9" s="3" t="s">
        <x:v>26</x:v>
      </x:c>
      <x:c r="B9" s="3" t="s">
        <x:v>27</x:v>
      </x:c>
      <x:c r="C9" s="5" t="n">
        <x:f>0.8435*1.2</x:f>
        <x:v>1.0122</x:v>
      </x:c>
      <x:c r="D9" s="5">
        <x:v>0.13600000000000001</x:v>
      </x:c>
      <x:c r="E9" s="9">
        <x:v>18</x:v>
      </x:c>
      <x:c r="F9" s="3" t="s">
        <x:v>14</x:v>
      </x:c>
      <x:c r="G9" s="3" t="s">
        <x:v>15</x:v>
      </x:c>
      <x:c r="H9" s="3" t="s">
        <x:v>16</x:v>
      </x:c>
      <x:c r="I9" s="3" t="s">
        <x:v>17</x:v>
      </x:c>
      <x:c r="J9" s="3"/>
    </x:row>
    <x:row r="10" ht="33.95000076293945" customHeight="1">
      <x:c r="A10" s="3" t="s">
        <x:v>28</x:v>
      </x:c>
      <x:c r="B10" s="3" t="s">
        <x:v>29</x:v>
      </x:c>
      <x:c r="C10" s="5" t="n">
        <x:f>9.8*1.2</x:f>
        <x:v>11.76</x:v>
      </x:c>
      <x:c r="D10" s="5">
        <x:v>0.24099999999999999</x:v>
      </x:c>
      <x:c r="E10" s="9">
        <x:v>55</x:v>
      </x:c>
      <x:c r="F10" s="3" t="s">
        <x:v>14</x:v>
      </x:c>
      <x:c r="G10" s="3" t="s">
        <x:v>15</x:v>
      </x:c>
      <x:c r="H10" s="3" t="s">
        <x:v>16</x:v>
      </x:c>
      <x:c r="I10" s="3" t="s">
        <x:v>30</x:v>
      </x:c>
      <x:c r="J10" s="3"/>
    </x:row>
    <x:row r="11" ht="33.95000076293945" customHeight="1">
      <x:c r="A11" s="3" t="s">
        <x:v>31</x:v>
      </x:c>
      <x:c r="B11" s="3" t="s">
        <x:v>32</x:v>
      </x:c>
      <x:c r="C11" s="5" t="n">
        <x:f>0.3926*1.2</x:f>
        <x:v>0.47112</x:v>
      </x:c>
      <x:c r="D11" s="3">
        <x:v>7.9000000000000001E-2</x:v>
      </x:c>
      <x:c r="E11" s="9">
        <x:v>8</x:v>
      </x:c>
      <x:c r="F11" s="3" t="s">
        <x:v>14</x:v>
      </x:c>
      <x:c r="G11" s="3" t="s">
        <x:v>15</x:v>
      </x:c>
      <x:c r="H11" s="3" t="s">
        <x:v>16</x:v>
      </x:c>
      <x:c r="I11" s="3" t="s">
        <x:v>30</x:v>
      </x:c>
      <x:c r="J11" s="3"/>
    </x:row>
    <x:row r="12" ht="33.95000076293945" customHeight="1">
      <x:c r="A12" s="3" t="s">
        <x:v>33</x:v>
      </x:c>
      <x:c r="B12" s="3" t="s">
        <x:v>34</x:v>
      </x:c>
      <x:c r="C12" s="5" t="n">
        <x:f>0.2759*1.2</x:f>
        <x:v>0.33108</x:v>
      </x:c>
      <x:c r="D12" s="5">
        <x:v>5.5E-2</x:v>
      </x:c>
      <x:c r="E12" s="9">
        <x:v>10</x:v>
      </x:c>
      <x:c r="F12" s="3" t="s">
        <x:v>14</x:v>
      </x:c>
      <x:c r="G12" s="3" t="s">
        <x:v>15</x:v>
      </x:c>
      <x:c r="H12" s="3" t="s">
        <x:v>16</x:v>
      </x:c>
      <x:c r="I12" s="3" t="s">
        <x:v>30</x:v>
      </x:c>
      <x:c r="J12" s="3"/>
    </x:row>
    <x:row r="13" ht="33.95000076293945" customHeight="1">
      <x:c r="A13" s="3" t="s">
        <x:v>35</x:v>
      </x:c>
      <x:c r="B13" s="3" t="s">
        <x:v>36</x:v>
      </x:c>
      <x:c r="C13" s="5" t="n">
        <x:f>0.3876*1.2</x:f>
        <x:v>0.46512</x:v>
      </x:c>
      <x:c r="D13" s="5">
        <x:v>0.182</x:v>
      </x:c>
      <x:c r="E13" s="9">
        <x:v>35</x:v>
      </x:c>
      <x:c r="F13" s="3" t="s">
        <x:v>14</x:v>
      </x:c>
      <x:c r="G13" s="3" t="s">
        <x:v>15</x:v>
      </x:c>
      <x:c r="H13" s="3" t="s">
        <x:v>16</x:v>
      </x:c>
      <x:c r="I13" s="3" t="s">
        <x:v>30</x:v>
      </x:c>
      <x:c r="J13" s="3"/>
    </x:row>
    <x:row r="14" ht="33.95000076293945" customHeight="1">
      <x:c r="A14" s="3" t="str">
        <x:v>RESERVOIR_RYTHMIC_200ML</x:v>
      </x:c>
      <x:c r="B14" s="3" t="s">
        <x:v>37</x:v>
      </x:c>
      <x:c r="C14" s="5" t="n">
        <x:f>16.97*1.2</x:f>
        <x:v>20.363999999999997</x:v>
      </x:c>
      <x:c r="D14" s="5">
        <x:v>0.20899999999999999</x:v>
      </x:c>
      <x:c r="E14" s="9">
        <x:v>50</x:v>
      </x:c>
      <x:c r="F14" s="3" t="s">
        <x:v>14</x:v>
      </x:c>
      <x:c r="G14" s="3" t="s">
        <x:v>15</x:v>
      </x:c>
      <x:c r="H14" s="3" t="s">
        <x:v>16</x:v>
      </x:c>
      <x:c r="I14" s="3" t="s">
        <x:v>38</x:v>
      </x:c>
      <x:c r="J14" s="3" t="s">
        <x:v>39</x:v>
      </x:c>
    </x:row>
    <x:row r="15" ht="33.95000076293945" customHeight="1">
      <x:c r="A15" s="3" t="str">
        <x:v>RESERVOIR_RYTHMIC_100ML</x:v>
      </x:c>
      <x:c r="B15" s="3" t="s">
        <x:v>40</x:v>
      </x:c>
      <x:c r="C15" s="5" t="n">
        <x:f>16*1.2</x:f>
        <x:v>19.2</x:v>
      </x:c>
      <x:c r="D15" s="5" t="n">
        <x:f>0.209-0.037/2</x:f>
        <x:v>0.1905</x:v>
      </x:c>
      <x:c r="E15" s="9">
        <x:v>50</x:v>
      </x:c>
      <x:c r="F15" s="3" t="s">
        <x:v>14</x:v>
      </x:c>
      <x:c r="G15" s="3" t="s">
        <x:v>15</x:v>
      </x:c>
      <x:c r="H15" s="3" t="s">
        <x:v>16</x:v>
      </x:c>
      <x:c r="I15" s="3" t="s">
        <x:v>38</x:v>
      </x:c>
      <x:c r="J15" s="3" t="s">
        <x:v>39</x:v>
      </x:c>
    </x:row>
    <x:row r="16" ht="33.95000076293945" customHeight="1">
      <x:c r="A16" s="3" t="s">
        <x:v>41</x:v>
      </x:c>
      <x:c r="B16" s="3" t="s">
        <x:v>42</x:v>
      </x:c>
      <x:c r="C16" s="5" t="n">
        <x:f>36.41*1.2</x:f>
        <x:v>43.69199999999999</x:v>
      </x:c>
      <x:c r="D16" s="5">
        <x:v>0.66800000000000004</x:v>
      </x:c>
      <x:c r="E16" s="9" t="n">
        <x:v>150</x:v>
      </x:c>
      <x:c r="F16" s="3" t="s">
        <x:v>14</x:v>
      </x:c>
      <x:c r="G16" s="3" t="s">
        <x:v>15</x:v>
      </x:c>
      <x:c r="H16" s="3" t="s">
        <x:v>16</x:v>
      </x:c>
      <x:c r="I16" s="3" t="str">
        <x:v>élevé</x:v>
      </x:c>
      <x:c r="J16" s="3" t="str">
        <x:v>Poids corrigé : hypothèse provisoire 150 g (fourchette 120-180 g), à revalider par pesée/fournisseur.</x:v>
      </x:c>
    </x:row>
    <x:row r="17" ht="33.95000076293945" customHeight="1">
      <x:c r="A17" s="3" t="s">
        <x:v>43</x:v>
      </x:c>
      <x:c r="B17" s="3" t="s">
        <x:v>44</x:v>
      </x:c>
      <x:c r="C17" s="5" t="n">
        <x:f>11.96*1.2</x:f>
        <x:v>14.352</x:v>
      </x:c>
      <x:c r="D17" s="5">
        <x:v>0.3</x:v>
      </x:c>
      <x:c r="E17" s="9" t="n">
        <x:v>43</x:v>
      </x:c>
      <x:c r="F17" s="3" t="s">
        <x:v>14</x:v>
      </x:c>
      <x:c r="G17" s="3" t="s">
        <x:v>15</x:v>
      </x:c>
      <x:c r="H17" s="3" t="s">
        <x:v>16</x:v>
      </x:c>
      <x:c r="I17" s="3" t="str">
        <x:v>moyen</x:v>
      </x:c>
      <x:c r="J17" s="3" t="str">
        <x:v>Poids corrigé : 43 g avec tube d'après fiche technique NeoPump ; à revalider par pesée locale.</x:v>
      </x:c>
    </x:row>
    <x:row r="18" ht="33.95000076293945" customHeight="1">
      <x:c r="A18" s="3" t="s">
        <x:v>45</x:v>
      </x:c>
      <x:c r="B18" s="3" t="s">
        <x:v>46</x:v>
      </x:c>
      <x:c r="C18" s="5" t="n">
        <x:f>11.96*1.2</x:f>
        <x:v>14.352</x:v>
      </x:c>
      <x:c r="D18" s="5">
        <x:v>0.24199999999999999</x:v>
      </x:c>
      <x:c r="E18" s="9" t="n">
        <x:v>43</x:v>
      </x:c>
      <x:c r="F18" s="3" t="s">
        <x:v>14</x:v>
      </x:c>
      <x:c r="G18" s="3" t="s">
        <x:v>47</x:v>
      </x:c>
      <x:c r="H18" s="3" t="s">
        <x:v>16</x:v>
      </x:c>
      <x:c r="I18" s="3" t="str">
        <x:v>moyen</x:v>
      </x:c>
      <x:c r="J18" s="3" t="str">
        <x:v>Poids corrigé : 43 g avec tube par analogie 240-500 mL d'après fiche technique NeoPump ; à revalider par pesée locale.</x:v>
      </x:c>
    </x:row>
    <x:row r="19" ht="33.95000076293945" customHeight="1">
      <x:c r="A19" s="3" t="s">
        <x:v>48</x:v>
      </x:c>
      <x:c r="B19" s="3" t="s">
        <x:v>49</x:v>
      </x:c>
      <x:c r="C19" s="5" t="n">
        <x:f>0.3</x:f>
        <x:v>0.3</x:v>
      </x:c>
      <x:c r="D19" s="5">
        <x:v>4.7E-2</x:v>
      </x:c>
      <x:c r="E19" s="9">
        <x:v>8</x:v>
      </x:c>
      <x:c r="F19" s="3" t="s">
        <x:v>14</x:v>
      </x:c>
      <x:c r="G19" s="3" t="s">
        <x:v>15</x:v>
      </x:c>
      <x:c r="H19" s="3" t="s">
        <x:v>16</x:v>
      </x:c>
      <x:c r="I19" s="3" t="s">
        <x:v>17</x:v>
      </x:c>
      <x:c r="J19" s="3" t="s">
        <x:v>50</x:v>
      </x:c>
    </x:row>
    <x:row r="20" ht="33.95000076293945" customHeight="1">
      <x:c r="A20" s="3" t="s">
        <x:v>51</x:v>
      </x:c>
      <x:c r="B20" s="3" t="s">
        <x:v>52</x:v>
      </x:c>
      <x:c r="C20" s="5" t="n">
        <x:f>0.1</x:f>
        <x:v>0.1</x:v>
      </x:c>
      <x:c r="D20" s="5">
        <x:v>5.5E-2</x:v>
      </x:c>
      <x:c r="E20" s="9">
        <x:v>3</x:v>
      </x:c>
      <x:c r="F20" s="3" t="s">
        <x:v>14</x:v>
      </x:c>
      <x:c r="G20" s="3" t="s">
        <x:v>15</x:v>
      </x:c>
      <x:c r="H20" s="3" t="s">
        <x:v>16</x:v>
      </x:c>
      <x:c r="I20" s="3" t="s">
        <x:v>38</x:v>
      </x:c>
      <x:c r="J20" s="3" t="s">
        <x:v>53</x:v>
      </x:c>
    </x:row>
    <x:row r="21" ht="33.95000076293945" customHeight="1">
      <x:c r="A21" s="3" t="s">
        <x:v>54</x:v>
      </x:c>
      <x:c r="B21" s="3" t="s">
        <x:v>55</x:v>
      </x:c>
      <x:c r="C21" s="5">
        <x:v>0</x:v>
      </x:c>
      <x:c r="D21" s="5">
        <x:v>3.0000000000000001E-3</x:v>
      </x:c>
      <x:c r="E21" s="9">
        <x:v>1</x:v>
      </x:c>
      <x:c r="F21" s="3" t="s">
        <x:v>56</x:v>
      </x:c>
      <x:c r="G21" s="3" t="s">
        <x:v>15</x:v>
      </x:c>
      <x:c r="H21" s="3" t="s">
        <x:v>16</x:v>
      </x:c>
      <x:c r="I21" s="3" t="s">
        <x:v>38</x:v>
      </x:c>
      <x:c r="J21" s="3" t="s">
        <x:v>53</x:v>
      </x:c>
    </x:row>
    <x:row r="22">
      <x:c r="A22" s="3" t="str">
        <x:v>AIGUILLE_RECONSTITUTION</x:v>
      </x:c>
      <x:c r="B22" s="3" t="str">
        <x:v>Aiguille de reconstitution / prélèvement</x:v>
      </x:c>
      <x:c r="C22" s="5" t="n">
        <x:v>0.04</x:v>
      </x:c>
      <x:c r="D22" s="5" t="n">
        <x:v>0.01</x:v>
      </x:c>
      <x:c r="E22" s="9" t="n">
        <x:v>2</x:v>
      </x:c>
      <x:c r="F22" s="3" t="str">
        <x:v>DASRI</x:v>
      </x:c>
      <x:c r="G22" s="3" t="str">
        <x:v>Hypothèse interne</x:v>
      </x:c>
      <x:c r="H22" s="3" t="str">
        <x:v>Carebone / estimation par masse matière</x:v>
      </x:c>
      <x:c r="I22" s="3" t="str">
        <x:v>élevé</x:v>
      </x:c>
      <x:c r="J22" s="3" t="str">
        <x:v>Ajoutée pour ACV médicaments nécessitant une reconstitution ; valeur provisoire à revalider par pesée/fournisseur.</x:v>
      </x:c>
    </x:row>
    <x:row r="23">
      <x:c r="C23" s="6"/>
      <x:c r="D23" s="6"/>
      <x:c r="E23" s="10"/>
    </x:row>
    <x:row r="24">
      <x:c r="C24" s="6"/>
      <x:c r="D24" s="6"/>
      <x:c r="E24" s="10"/>
    </x:row>
    <x:row r="25">
      <x:c r="C25" s="6"/>
      <x:c r="D25" s="6"/>
      <x:c r="E25" s="10"/>
    </x:row>
    <x:row r="26">
      <x:c r="C26" s="6"/>
      <x:c r="D26" s="6"/>
      <x:c r="E26" s="10"/>
    </x:row>
    <x:row r="27">
      <x:c r="C27" s="6"/>
      <x:c r="D27" s="6"/>
      <x:c r="E27" s="10"/>
    </x:row>
    <x:row r="28">
      <x:c r="C28" s="6"/>
      <x:c r="D28" s="6"/>
      <x:c r="E28" s="10"/>
    </x:row>
    <x:row r="29">
      <x:c r="C29" s="6"/>
      <x:c r="D29" s="6"/>
      <x:c r="E29" s="10"/>
    </x:row>
    <x:row r="30">
      <x:c r="C30" s="6"/>
      <x:c r="D30" s="6"/>
      <x:c r="E30" s="10"/>
    </x:row>
    <x:row r="31">
      <x:c r="C31" s="6"/>
      <x:c r="D31" s="6"/>
      <x:c r="E31" s="10"/>
    </x:row>
    <x:row r="32">
      <x:c r="C32" s="6"/>
      <x:c r="D32" s="6"/>
      <x:c r="E32" s="10"/>
    </x:row>
    <x:row r="33">
      <x:c r="C33" s="6"/>
      <x:c r="D33" s="6"/>
      <x:c r="E33" s="10"/>
    </x:row>
    <x:row r="34">
      <x:c r="C34" s="6"/>
      <x:c r="D34" s="6"/>
      <x:c r="E34" s="10"/>
    </x:row>
    <x:row r="35">
      <x:c r="C35" s="6"/>
      <x:c r="D35" s="6"/>
      <x:c r="E35" s="10"/>
    </x:row>
    <x:row r="36">
      <x:c r="C36" s="6"/>
      <x:c r="D36" s="6"/>
      <x:c r="E36" s="10"/>
    </x:row>
    <x:row r="37">
      <x:c r="C37" s="6"/>
      <x:c r="D37" s="6"/>
      <x:c r="E37" s="10"/>
    </x:row>
    <x:row r="38">
      <x:c r="C38" s="6"/>
      <x:c r="D38" s="6"/>
      <x:c r="E38" s="10"/>
    </x:row>
    <x:row r="39">
      <x:c r="C39" s="6"/>
      <x:c r="D39" s="6"/>
      <x:c r="E39" s="10"/>
    </x:row>
    <x:row r="40">
      <x:c r="C40" s="6"/>
      <x:c r="D40" s="6"/>
      <x:c r="E40" s="10"/>
    </x:row>
    <x:row r="41">
      <x:c r="C41" s="6"/>
      <x:c r="D41" s="6"/>
      <x:c r="E41" s="10"/>
    </x:row>
    <x:row r="42">
      <x:c r="C42" s="6"/>
      <x:c r="D42" s="6"/>
      <x:c r="E42" s="10"/>
    </x:row>
    <x:row r="43">
      <x:c r="C43" s="6"/>
      <x:c r="D43" s="6"/>
      <x:c r="E43" s="10"/>
    </x:row>
    <x:row r="44">
      <x:c r="C44" s="6"/>
      <x:c r="D44" s="6"/>
      <x:c r="E44" s="10"/>
    </x:row>
    <x:row r="45">
      <x:c r="C45" s="6"/>
      <x:c r="D45" s="6"/>
      <x:c r="E45" s="10"/>
    </x:row>
    <x:row r="46">
      <x:c r="C46" s="6"/>
      <x:c r="D46" s="6"/>
      <x:c r="E46" s="10"/>
    </x:row>
    <x:row r="47">
      <x:c r="C47" s="6"/>
      <x:c r="D47" s="6"/>
      <x:c r="E47" s="10"/>
    </x:row>
    <x:row r="48">
      <x:c r="C48" s="6"/>
      <x:c r="D48" s="6"/>
      <x:c r="E48" s="10"/>
    </x:row>
    <x:row r="49">
      <x:c r="C49" s="6"/>
      <x:c r="D49" s="6"/>
      <x:c r="E49" s="10"/>
    </x:row>
    <x:row r="50">
      <x:c r="C50" s="6"/>
      <x:c r="D50" s="6"/>
      <x:c r="E50" s="10"/>
    </x:row>
    <x:row r="51">
      <x:c r="C51" s="6"/>
      <x:c r="D51" s="6"/>
      <x:c r="E51" s="10"/>
    </x:row>
    <x:row r="52">
      <x:c r="C52" s="6"/>
      <x:c r="D52" s="6"/>
      <x:c r="E52" s="10"/>
    </x:row>
    <x:row r="53">
      <x:c r="C53" s="6"/>
      <x:c r="D53" s="6"/>
      <x:c r="E53" s="10"/>
    </x:row>
    <x:row r="54">
      <x:c r="C54" s="6"/>
      <x:c r="D54" s="6"/>
      <x:c r="E54" s="10"/>
    </x:row>
    <x:row r="55">
      <x:c r="C55" s="6"/>
      <x:c r="D55" s="6"/>
      <x:c r="E55" s="10"/>
    </x:row>
    <x:row r="56">
      <x:c r="C56" s="6"/>
      <x:c r="D56" s="6"/>
      <x:c r="E56" s="10"/>
    </x:row>
    <x:row r="57">
      <x:c r="C57" s="6"/>
      <x:c r="D57" s="6"/>
      <x:c r="E57" s="10"/>
    </x:row>
    <x:row r="58">
      <x:c r="C58" s="6"/>
      <x:c r="D58" s="6"/>
      <x:c r="E58" s="10"/>
    </x:row>
    <x:row r="59">
      <x:c r="C59" s="6"/>
      <x:c r="D59" s="6"/>
      <x:c r="E59" s="10"/>
    </x:row>
    <x:row r="60">
      <x:c r="C60" s="6"/>
      <x:c r="D60" s="6"/>
      <x:c r="E60" s="10"/>
    </x:row>
    <x:row r="61">
      <x:c r="C61" s="6"/>
      <x:c r="D61" s="6"/>
      <x:c r="E61" s="10"/>
    </x:row>
    <x:row r="62">
      <x:c r="C62" s="6"/>
      <x:c r="D62" s="6"/>
      <x:c r="E62" s="10"/>
    </x:row>
    <x:row r="63">
      <x:c r="C63" s="6"/>
      <x:c r="D63" s="6"/>
      <x:c r="E63" s="10"/>
    </x:row>
    <x:row r="64">
      <x:c r="C64" s="6"/>
      <x:c r="D64" s="6"/>
      <x:c r="E64" s="10"/>
    </x:row>
    <x:row r="65">
      <x:c r="C65" s="6"/>
      <x:c r="D65" s="6"/>
      <x:c r="E65" s="10"/>
    </x:row>
    <x:row r="66">
      <x:c r="C66" s="6"/>
      <x:c r="D66" s="6"/>
      <x:c r="E66" s="10"/>
    </x:row>
    <x:row r="67">
      <x:c r="C67" s="6"/>
      <x:c r="D67" s="6"/>
      <x:c r="E67" s="10"/>
    </x:row>
    <x:row r="68">
      <x:c r="C68" s="6"/>
      <x:c r="D68" s="6"/>
      <x:c r="E68" s="10"/>
    </x:row>
    <x:row r="69">
      <x:c r="C69" s="6"/>
      <x:c r="D69" s="6"/>
      <x:c r="E69" s="10"/>
    </x:row>
    <x:row r="70">
      <x:c r="C70" s="6"/>
      <x:c r="D70" s="6"/>
      <x:c r="E70" s="10"/>
    </x:row>
    <x:row r="71">
      <x:c r="C71" s="6"/>
      <x:c r="D71" s="6"/>
      <x:c r="E71" s="10"/>
    </x:row>
    <x:row r="72">
      <x:c r="C72" s="6"/>
      <x:c r="D72" s="6"/>
      <x:c r="E72" s="10"/>
    </x:row>
    <x:row r="73">
      <x:c r="C73" s="6"/>
      <x:c r="D73" s="6"/>
      <x:c r="E73" s="10"/>
    </x:row>
    <x:row r="74">
      <x:c r="C74" s="6"/>
      <x:c r="D74" s="6"/>
      <x:c r="E74" s="10"/>
    </x:row>
    <x:row r="75">
      <x:c r="C75" s="6"/>
      <x:c r="D75" s="6"/>
      <x:c r="E75" s="10"/>
    </x:row>
    <x:row r="76">
      <x:c r="C76" s="6"/>
      <x:c r="D76" s="6"/>
      <x:c r="E76" s="10"/>
    </x:row>
    <x:row r="77">
      <x:c r="C77" s="6"/>
      <x:c r="D77" s="6"/>
      <x:c r="E77" s="10"/>
    </x:row>
    <x:row r="78">
      <x:c r="C78" s="6"/>
      <x:c r="D78" s="6"/>
      <x:c r="E78" s="10"/>
    </x:row>
    <x:row r="79">
      <x:c r="C79" s="6"/>
      <x:c r="D79" s="6"/>
      <x:c r="E79" s="10"/>
    </x:row>
    <x:row r="80">
      <x:c r="C80" s="6"/>
      <x:c r="D80" s="6"/>
      <x:c r="E80" s="10"/>
    </x:row>
    <x:row r="81">
      <x:c r="C81" s="6"/>
      <x:c r="D81" s="6"/>
      <x:c r="E81" s="10"/>
    </x:row>
    <x:row r="82">
      <x:c r="C82" s="6"/>
      <x:c r="D82" s="6"/>
      <x:c r="E82" s="10"/>
    </x:row>
    <x:row r="83">
      <x:c r="C83" s="6"/>
      <x:c r="D83" s="6"/>
      <x:c r="E83" s="10"/>
    </x:row>
    <x:row r="84">
      <x:c r="C84" s="6"/>
      <x:c r="D84" s="6"/>
      <x:c r="E84" s="10"/>
    </x:row>
    <x:row r="85">
      <x:c r="C85" s="6"/>
      <x:c r="D85" s="6"/>
      <x:c r="E85" s="10"/>
    </x:row>
    <x:row r="86">
      <x:c r="C86" s="6"/>
      <x:c r="D86" s="6"/>
      <x:c r="E86" s="10"/>
    </x:row>
    <x:row r="87">
      <x:c r="C87" s="6"/>
      <x:c r="D87" s="6"/>
      <x:c r="E87" s="10"/>
    </x:row>
    <x:row r="88">
      <x:c r="C88" s="6"/>
      <x:c r="D88" s="6"/>
      <x:c r="E88" s="10"/>
    </x:row>
    <x:row r="89">
      <x:c r="C89" s="6"/>
      <x:c r="D89" s="6"/>
      <x:c r="E89" s="10"/>
    </x:row>
    <x:row r="90">
      <x:c r="C90" s="6"/>
      <x:c r="D90" s="6"/>
      <x:c r="E90" s="10"/>
    </x:row>
    <x:row r="91">
      <x:c r="C91" s="6"/>
      <x:c r="D91" s="6"/>
      <x:c r="E91" s="10"/>
    </x:row>
    <x:row r="92">
      <x:c r="C92" s="6"/>
      <x:c r="D92" s="6"/>
      <x:c r="E92" s="10"/>
    </x:row>
    <x:row r="93">
      <x:c r="C93" s="6"/>
      <x:c r="D93" s="6"/>
      <x:c r="E93" s="10"/>
    </x:row>
    <x:row r="94">
      <x:c r="C94" s="6"/>
      <x:c r="D94" s="6"/>
      <x:c r="E94" s="10"/>
    </x:row>
    <x:row r="95">
      <x:c r="C95" s="6"/>
      <x:c r="D95" s="6"/>
      <x:c r="E95" s="10"/>
    </x:row>
    <x:row r="96">
      <x:c r="C96" s="6"/>
      <x:c r="D96" s="6"/>
      <x:c r="E96" s="10"/>
    </x:row>
    <x:row r="97">
      <x:c r="C97" s="6"/>
      <x:c r="D97" s="6"/>
      <x:c r="E97" s="10"/>
    </x:row>
    <x:row r="98">
      <x:c r="C98" s="6"/>
      <x:c r="D98" s="6"/>
      <x:c r="E98" s="10"/>
    </x:row>
    <x:row r="99">
      <x:c r="C99" s="6"/>
      <x:c r="D99" s="6"/>
      <x:c r="E99" s="10"/>
    </x:row>
    <x:row r="100">
      <x:c r="C100" s="6"/>
      <x:c r="D100" s="6"/>
      <x:c r="E100" s="10"/>
    </x:row>
    <x:row r="101">
      <x:c r="C101" s="6"/>
      <x:c r="D101" s="6"/>
      <x:c r="E101" s="10"/>
    </x:row>
    <x:row r="102">
      <x:c r="C102" s="6"/>
      <x:c r="D102" s="6"/>
      <x:c r="E102" s="10"/>
    </x:row>
    <x:row r="103">
      <x:c r="C103" s="6"/>
      <x:c r="D103" s="6"/>
      <x:c r="E103" s="10"/>
    </x:row>
    <x:row r="104">
      <x:c r="C104" s="6"/>
      <x:c r="D104" s="6"/>
      <x:c r="E104" s="10"/>
    </x:row>
    <x:row r="105">
      <x:c r="C105" s="6"/>
      <x:c r="D105" s="6"/>
      <x:c r="E105" s="10"/>
    </x:row>
    <x:row r="106">
      <x:c r="C106" s="6"/>
      <x:c r="D106" s="6"/>
      <x:c r="E106" s="10"/>
    </x:row>
    <x:row r="107">
      <x:c r="C107" s="6"/>
      <x:c r="D107" s="6"/>
      <x:c r="E107" s="10"/>
    </x:row>
    <x:row r="108">
      <x:c r="C108" s="6"/>
      <x:c r="D108" s="6"/>
      <x:c r="E108" s="10"/>
    </x:row>
    <x:row r="109">
      <x:c r="C109" s="6"/>
      <x:c r="D109" s="6"/>
      <x:c r="E109" s="10"/>
    </x:row>
    <x:row r="110">
      <x:c r="C110" s="6"/>
      <x:c r="D110" s="6"/>
      <x:c r="E110" s="10"/>
    </x:row>
    <x:row r="111">
      <x:c r="C111" s="6"/>
      <x:c r="D111" s="6"/>
      <x:c r="E111" s="10"/>
    </x:row>
    <x:row r="112">
      <x:c r="C112" s="6"/>
      <x:c r="D112" s="6"/>
      <x:c r="E112" s="10"/>
    </x:row>
    <x:row r="113">
      <x:c r="C113" s="6"/>
      <x:c r="D113" s="6"/>
      <x:c r="E113" s="10"/>
    </x:row>
    <x:row r="114">
      <x:c r="C114" s="6"/>
      <x:c r="D114" s="6"/>
      <x:c r="E114" s="10"/>
    </x:row>
    <x:row r="115">
      <x:c r="C115" s="6"/>
      <x:c r="D115" s="6"/>
      <x:c r="E115" s="10"/>
    </x:row>
    <x:row r="116">
      <x:c r="C116" s="6"/>
      <x:c r="D116" s="6"/>
      <x:c r="E116" s="10"/>
    </x:row>
    <x:row r="117">
      <x:c r="C117" s="6"/>
      <x:c r="D117" s="6"/>
      <x:c r="E117" s="10"/>
    </x:row>
    <x:row r="118">
      <x:c r="C118" s="6"/>
      <x:c r="D118" s="6"/>
      <x:c r="E118" s="10"/>
    </x:row>
    <x:row r="119">
      <x:c r="C119" s="6"/>
      <x:c r="D119" s="6"/>
      <x:c r="E119" s="10"/>
    </x:row>
    <x:row r="120">
      <x:c r="C120" s="6"/>
      <x:c r="D120" s="6"/>
      <x:c r="E120" s="10"/>
    </x:row>
    <x:row r="121">
      <x:c r="C121" s="6"/>
      <x:c r="D121" s="6"/>
      <x:c r="E121" s="10"/>
    </x:row>
    <x:row r="122">
      <x:c r="C122" s="6"/>
      <x:c r="D122" s="6"/>
      <x:c r="E122" s="10"/>
    </x:row>
    <x:row r="123">
      <x:c r="C123" s="6"/>
      <x:c r="D123" s="6"/>
      <x:c r="E123" s="10"/>
    </x:row>
    <x:row r="124">
      <x:c r="C124" s="6"/>
      <x:c r="D124" s="6"/>
      <x:c r="E124" s="10"/>
    </x:row>
    <x:row r="125">
      <x:c r="C125" s="6"/>
      <x:c r="D125" s="6"/>
      <x:c r="E125" s="10"/>
    </x:row>
    <x:row r="126">
      <x:c r="C126" s="6"/>
      <x:c r="D126" s="6"/>
      <x:c r="E126" s="10"/>
    </x:row>
    <x:row r="127">
      <x:c r="C127" s="6"/>
      <x:c r="D127" s="6"/>
      <x:c r="E127" s="10"/>
    </x:row>
    <x:row r="128">
      <x:c r="C128" s="6"/>
      <x:c r="D128" s="6"/>
      <x:c r="E128" s="10"/>
    </x:row>
    <x:row r="129">
      <x:c r="C129" s="6"/>
      <x:c r="D129" s="6"/>
      <x:c r="E129" s="10"/>
    </x:row>
    <x:row r="130">
      <x:c r="C130" s="6"/>
      <x:c r="D130" s="6"/>
      <x:c r="E130" s="10"/>
    </x:row>
    <x:row r="131">
      <x:c r="C131" s="6"/>
      <x:c r="D131" s="6"/>
      <x:c r="E131" s="10"/>
    </x:row>
    <x:row r="132">
      <x:c r="C132" s="6"/>
      <x:c r="D132" s="6"/>
      <x:c r="E132" s="10"/>
    </x:row>
    <x:row r="133">
      <x:c r="C133" s="6"/>
      <x:c r="D133" s="6"/>
      <x:c r="E133" s="10"/>
    </x:row>
    <x:row r="134">
      <x:c r="C134" s="6"/>
      <x:c r="D134" s="6"/>
      <x:c r="E134" s="10"/>
    </x:row>
    <x:row r="135">
      <x:c r="C135" s="6"/>
      <x:c r="D135" s="6"/>
      <x:c r="E135" s="10"/>
    </x:row>
    <x:row r="136">
      <x:c r="C136" s="6"/>
      <x:c r="D136" s="6"/>
      <x:c r="E136" s="10"/>
    </x:row>
    <x:row r="137">
      <x:c r="C137" s="6"/>
      <x:c r="D137" s="6"/>
      <x:c r="E137" s="10"/>
    </x:row>
    <x:row r="138">
      <x:c r="C138" s="6"/>
      <x:c r="D138" s="6"/>
      <x:c r="E138" s="10"/>
    </x:row>
    <x:row r="139">
      <x:c r="C139" s="6"/>
      <x:c r="D139" s="6"/>
      <x:c r="E139" s="10"/>
    </x:row>
    <x:row r="140">
      <x:c r="C140" s="6"/>
      <x:c r="D140" s="6"/>
      <x:c r="E140" s="10"/>
    </x:row>
    <x:row r="141">
      <x:c r="C141" s="6"/>
      <x:c r="D141" s="6"/>
      <x:c r="E141" s="10"/>
    </x:row>
    <x:row r="142">
      <x:c r="C142" s="6"/>
      <x:c r="D142" s="6"/>
      <x:c r="E142" s="10"/>
    </x:row>
    <x:row r="143">
      <x:c r="C143" s="6"/>
      <x:c r="D143" s="6"/>
      <x:c r="E143" s="10"/>
    </x:row>
    <x:row r="144">
      <x:c r="C144" s="6"/>
      <x:c r="D144" s="6"/>
      <x:c r="E144" s="10"/>
    </x:row>
    <x:row r="145">
      <x:c r="C145" s="6"/>
      <x:c r="D145" s="6"/>
      <x:c r="E145" s="10"/>
    </x:row>
    <x:row r="146">
      <x:c r="C146" s="6"/>
      <x:c r="D146" s="6"/>
      <x:c r="E146" s="10"/>
    </x:row>
    <x:row r="147">
      <x:c r="C147" s="6"/>
      <x:c r="D147" s="6"/>
      <x:c r="E147" s="10"/>
    </x:row>
    <x:row r="148">
      <x:c r="C148" s="6"/>
      <x:c r="D148" s="6"/>
      <x:c r="E148" s="10"/>
    </x:row>
    <x:row r="149">
      <x:c r="C149" s="6"/>
      <x:c r="D149" s="6"/>
      <x:c r="E149" s="10"/>
    </x:row>
    <x:row r="150">
      <x:c r="C150" s="6"/>
      <x:c r="D150" s="6"/>
      <x:c r="E150" s="10"/>
    </x:row>
    <x:row r="151">
      <x:c r="C151" s="6"/>
      <x:c r="D151" s="6"/>
      <x:c r="E151" s="10"/>
    </x:row>
    <x:row r="152">
      <x:c r="C152" s="6"/>
      <x:c r="D152" s="6"/>
      <x:c r="E152" s="10"/>
    </x:row>
    <x:row r="153">
      <x:c r="C153" s="6"/>
      <x:c r="D153" s="6"/>
      <x:c r="E153" s="10"/>
    </x:row>
    <x:row r="154">
      <x:c r="C154" s="6"/>
      <x:c r="D154" s="6"/>
      <x:c r="E154" s="10"/>
    </x:row>
    <x:row r="155">
      <x:c r="C155" s="6"/>
      <x:c r="D155" s="6"/>
      <x:c r="E155" s="10"/>
    </x:row>
    <x:row r="156">
      <x:c r="C156" s="6"/>
      <x:c r="D156" s="6"/>
      <x:c r="E156" s="10"/>
    </x:row>
    <x:row r="157">
      <x:c r="C157" s="6"/>
      <x:c r="D157" s="6"/>
      <x:c r="E157" s="10"/>
    </x:row>
    <x:row r="158">
      <x:c r="C158" s="6"/>
      <x:c r="D158" s="6"/>
      <x:c r="E158" s="10"/>
    </x:row>
    <x:row r="159">
      <x:c r="C159" s="6"/>
      <x:c r="D159" s="6"/>
      <x:c r="E159" s="10"/>
    </x:row>
    <x:row r="160">
      <x:c r="C160" s="6"/>
      <x:c r="D160" s="6"/>
      <x:c r="E160" s="10"/>
    </x:row>
    <x:row r="161">
      <x:c r="C161" s="6"/>
      <x:c r="D161" s="6"/>
      <x:c r="E161" s="10"/>
    </x:row>
    <x:row r="162">
      <x:c r="C162" s="6"/>
      <x:c r="D162" s="6"/>
      <x:c r="E162" s="10"/>
    </x:row>
    <x:row r="163">
      <x:c r="C163" s="6"/>
      <x:c r="D163" s="6"/>
      <x:c r="E163" s="10"/>
    </x:row>
    <x:row r="164">
      <x:c r="C164" s="6"/>
      <x:c r="D164" s="6"/>
      <x:c r="E164" s="10"/>
    </x:row>
    <x:row r="165">
      <x:c r="C165" s="6"/>
      <x:c r="D165" s="6"/>
      <x:c r="E165" s="10"/>
    </x:row>
    <x:row r="166">
      <x:c r="C166" s="6"/>
      <x:c r="D166" s="6"/>
      <x:c r="E166" s="10"/>
    </x:row>
    <x:row r="167">
      <x:c r="C167" s="6"/>
      <x:c r="D167" s="6"/>
      <x:c r="E167" s="10"/>
    </x:row>
    <x:row r="168">
      <x:c r="C168" s="6"/>
      <x:c r="D168" s="6"/>
      <x:c r="E168" s="10"/>
    </x:row>
    <x:row r="169">
      <x:c r="C169" s="6"/>
      <x:c r="D169" s="6"/>
      <x:c r="E169" s="10"/>
    </x:row>
    <x:row r="170">
      <x:c r="C170" s="6"/>
      <x:c r="D170" s="6"/>
      <x:c r="E170" s="10"/>
    </x:row>
    <x:row r="171">
      <x:c r="C171" s="6"/>
      <x:c r="D171" s="6"/>
      <x:c r="E171" s="10"/>
    </x:row>
    <x:row r="172">
      <x:c r="C172" s="6"/>
      <x:c r="D172" s="6"/>
      <x:c r="E172" s="10"/>
    </x:row>
    <x:row r="173">
      <x:c r="C173" s="6"/>
      <x:c r="D173" s="6"/>
      <x:c r="E173" s="10"/>
    </x:row>
    <x:row r="174">
      <x:c r="C174" s="6"/>
      <x:c r="D174" s="6"/>
      <x:c r="E174" s="10"/>
    </x:row>
    <x:row r="175">
      <x:c r="C175" s="6"/>
      <x:c r="D175" s="6"/>
      <x:c r="E175" s="10"/>
    </x:row>
    <x:row r="176">
      <x:c r="C176" s="6"/>
      <x:c r="D176" s="6"/>
      <x:c r="E176" s="10"/>
    </x:row>
    <x:row r="177">
      <x:c r="C177" s="6"/>
      <x:c r="D177" s="6"/>
      <x:c r="E177" s="10"/>
    </x:row>
    <x:row r="178">
      <x:c r="C178" s="6"/>
      <x:c r="D178" s="6"/>
      <x:c r="E178" s="10"/>
    </x:row>
    <x:row r="179">
      <x:c r="C179" s="6"/>
      <x:c r="D179" s="6"/>
      <x:c r="E179" s="10"/>
    </x:row>
    <x:row r="180">
      <x:c r="C180" s="6"/>
      <x:c r="D180" s="6"/>
      <x:c r="E180" s="10"/>
    </x:row>
    <x:row r="181">
      <x:c r="C181" s="6"/>
      <x:c r="D181" s="6"/>
      <x:c r="E181" s="10"/>
    </x:row>
    <x:row r="182">
      <x:c r="C182" s="6"/>
      <x:c r="D182" s="6"/>
      <x:c r="E182" s="10"/>
    </x:row>
    <x:row r="183">
      <x:c r="C183" s="6"/>
      <x:c r="D183" s="6"/>
      <x:c r="E183" s="10"/>
    </x:row>
    <x:row r="184">
      <x:c r="C184" s="6"/>
      <x:c r="D184" s="6"/>
      <x:c r="E184" s="10"/>
    </x:row>
    <x:row r="185">
      <x:c r="C185" s="6"/>
      <x:c r="D185" s="6"/>
      <x:c r="E185" s="10"/>
    </x:row>
    <x:row r="186">
      <x:c r="C186" s="6"/>
      <x:c r="D186" s="6"/>
      <x:c r="E186" s="10"/>
    </x:row>
    <x:row r="187">
      <x:c r="C187" s="6"/>
      <x:c r="D187" s="6"/>
      <x:c r="E187" s="10"/>
    </x:row>
    <x:row r="188">
      <x:c r="C188" s="6"/>
      <x:c r="D188" s="6"/>
      <x:c r="E188" s="10"/>
    </x:row>
    <x:row r="189">
      <x:c r="C189" s="6"/>
      <x:c r="D189" s="6"/>
      <x:c r="E189" s="10"/>
    </x:row>
    <x:row r="190">
      <x:c r="C190" s="6"/>
      <x:c r="D190" s="6"/>
      <x:c r="E190" s="10"/>
    </x:row>
    <x:row r="191">
      <x:c r="C191" s="6"/>
      <x:c r="D191" s="6"/>
      <x:c r="E191" s="10"/>
    </x:row>
    <x:row r="192">
      <x:c r="C192" s="6"/>
      <x:c r="D192" s="6"/>
      <x:c r="E192" s="10"/>
    </x:row>
    <x:row r="193">
      <x:c r="C193" s="6"/>
      <x:c r="D193" s="6"/>
      <x:c r="E193" s="10"/>
    </x:row>
    <x:row r="194">
      <x:c r="C194" s="6"/>
      <x:c r="D194" s="6"/>
      <x:c r="E194" s="10"/>
    </x:row>
    <x:row r="195">
      <x:c r="C195" s="6"/>
      <x:c r="D195" s="6"/>
      <x:c r="E195" s="10"/>
    </x:row>
    <x:row r="196">
      <x:c r="C196" s="6"/>
      <x:c r="D196" s="6"/>
      <x:c r="E196" s="10"/>
    </x:row>
    <x:row r="197">
      <x:c r="C197" s="6"/>
      <x:c r="D197" s="6"/>
      <x:c r="E197" s="10"/>
    </x:row>
    <x:row r="198">
      <x:c r="C198" s="6"/>
      <x:c r="D198" s="6"/>
      <x:c r="E198" s="10"/>
    </x:row>
    <x:row r="199">
      <x:c r="C199" s="6"/>
      <x:c r="D199" s="6"/>
      <x:c r="E199" s="10"/>
    </x:row>
    <x:row r="200">
      <x:c r="C200" s="6"/>
      <x:c r="D200" s="6"/>
      <x:c r="E200" s="10"/>
    </x:row>
    <x:row r="201">
      <x:c r="C201" s="6"/>
      <x:c r="D201" s="6"/>
      <x:c r="E201" s="10"/>
    </x:row>
    <x:row r="202">
      <x:c r="C202" s="6"/>
      <x:c r="D202" s="6"/>
      <x:c r="E202" s="10"/>
    </x:row>
    <x:row r="203">
      <x:c r="C203" s="6"/>
      <x:c r="D203" s="6"/>
      <x:c r="E203" s="10"/>
    </x:row>
    <x:row r="204">
      <x:c r="C204" s="6"/>
      <x:c r="D204" s="6"/>
      <x:c r="E204" s="10"/>
    </x:row>
    <x:row r="205">
      <x:c r="C205" s="6"/>
      <x:c r="D205" s="6"/>
      <x:c r="E205" s="10"/>
    </x:row>
    <x:row r="206">
      <x:c r="C206" s="6"/>
      <x:c r="D206" s="6"/>
      <x:c r="E206" s="10"/>
    </x:row>
    <x:row r="207">
      <x:c r="C207" s="6"/>
      <x:c r="D207" s="6"/>
      <x:c r="E207" s="10"/>
    </x:row>
    <x:row r="208">
      <x:c r="C208" s="6"/>
      <x:c r="D208" s="6"/>
      <x:c r="E208" s="10"/>
    </x:row>
    <x:row r="209">
      <x:c r="C209" s="6"/>
      <x:c r="D209" s="6"/>
      <x:c r="E209" s="10"/>
    </x:row>
    <x:row r="210">
      <x:c r="C210" s="6"/>
      <x:c r="D210" s="6"/>
      <x:c r="E210" s="10"/>
    </x:row>
    <x:row r="211">
      <x:c r="C211" s="6"/>
      <x:c r="D211" s="6"/>
      <x:c r="E211" s="10"/>
    </x:row>
    <x:row r="212">
      <x:c r="C212" s="6"/>
      <x:c r="D212" s="6"/>
      <x:c r="E212" s="10"/>
    </x:row>
    <x:row r="213">
      <x:c r="C213" s="6"/>
      <x:c r="D213" s="6"/>
      <x:c r="E213" s="10"/>
    </x:row>
    <x:row r="214">
      <x:c r="C214" s="6"/>
      <x:c r="D214" s="6"/>
      <x:c r="E214" s="10"/>
    </x:row>
    <x:row r="215">
      <x:c r="C215" s="6"/>
      <x:c r="D215" s="6"/>
      <x:c r="E215" s="10"/>
    </x:row>
    <x:row r="216">
      <x:c r="C216" s="6"/>
      <x:c r="D216" s="6"/>
      <x:c r="E216" s="10"/>
    </x:row>
    <x:row r="217">
      <x:c r="C217" s="6"/>
      <x:c r="D217" s="6"/>
      <x:c r="E217" s="10"/>
    </x:row>
    <x:row r="218">
      <x:c r="C218" s="6"/>
      <x:c r="D218" s="6"/>
      <x:c r="E218" s="10"/>
    </x:row>
    <x:row r="219">
      <x:c r="C219" s="6"/>
      <x:c r="D219" s="6"/>
      <x:c r="E219" s="10"/>
    </x:row>
    <x:row r="220">
      <x:c r="C220" s="6"/>
      <x:c r="D220" s="6"/>
      <x:c r="E220" s="10"/>
    </x:row>
    <x:row r="221">
      <x:c r="C221" s="6"/>
      <x:c r="D221" s="6"/>
      <x:c r="E221" s="10"/>
    </x:row>
    <x:row r="222">
      <x:c r="C222" s="6"/>
      <x:c r="D222" s="6"/>
      <x:c r="E222" s="10"/>
    </x:row>
    <x:row r="223">
      <x:c r="C223" s="6"/>
      <x:c r="D223" s="6"/>
      <x:c r="E223" s="10"/>
    </x:row>
    <x:row r="224">
      <x:c r="C224" s="6"/>
      <x:c r="D224" s="6"/>
      <x:c r="E224" s="10"/>
    </x:row>
    <x:row r="225">
      <x:c r="C225" s="6"/>
      <x:c r="D225" s="6"/>
      <x:c r="E225" s="10"/>
    </x:row>
    <x:row r="226">
      <x:c r="C226" s="6"/>
      <x:c r="D226" s="6"/>
      <x:c r="E226" s="10"/>
    </x:row>
    <x:row r="227">
      <x:c r="C227" s="6"/>
      <x:c r="D227" s="6"/>
      <x:c r="E227" s="10"/>
    </x:row>
    <x:row r="228">
      <x:c r="C228" s="6"/>
      <x:c r="D228" s="6"/>
      <x:c r="E228" s="10"/>
    </x:row>
    <x:row r="229">
      <x:c r="C229" s="6"/>
      <x:c r="D229" s="6"/>
      <x:c r="E229" s="10"/>
    </x:row>
    <x:row r="230">
      <x:c r="C230" s="6"/>
      <x:c r="D230" s="6"/>
      <x:c r="E230" s="10"/>
    </x:row>
    <x:row r="231">
      <x:c r="C231" s="6"/>
      <x:c r="D231" s="6"/>
      <x:c r="E231" s="10"/>
    </x:row>
    <x:row r="232">
      <x:c r="C232" s="6"/>
      <x:c r="D232" s="6"/>
      <x:c r="E232" s="10"/>
    </x:row>
    <x:row r="233">
      <x:c r="C233" s="6"/>
      <x:c r="D233" s="6"/>
      <x:c r="E233" s="10"/>
    </x:row>
    <x:row r="234">
      <x:c r="C234" s="6"/>
      <x:c r="D234" s="6"/>
      <x:c r="E234" s="10"/>
    </x:row>
    <x:row r="235">
      <x:c r="C235" s="6"/>
      <x:c r="D235" s="6"/>
      <x:c r="E235" s="10"/>
    </x:row>
    <x:row r="236">
      <x:c r="C236" s="6"/>
      <x:c r="D236" s="6"/>
      <x:c r="E236" s="10"/>
    </x:row>
    <x:row r="237">
      <x:c r="C237" s="6"/>
      <x:c r="D237" s="6"/>
      <x:c r="E237" s="10"/>
    </x:row>
    <x:row r="238">
      <x:c r="C238" s="6"/>
      <x:c r="D238" s="6"/>
      <x:c r="E238" s="10"/>
    </x:row>
    <x:row r="239">
      <x:c r="C239" s="6"/>
      <x:c r="D239" s="6"/>
      <x:c r="E239" s="10"/>
    </x:row>
    <x:row r="240">
      <x:c r="C240" s="6"/>
      <x:c r="D240" s="6"/>
      <x:c r="E240" s="10"/>
    </x:row>
    <x:row r="241">
      <x:c r="C241" s="6"/>
      <x:c r="D241" s="6"/>
      <x:c r="E241" s="10"/>
    </x:row>
    <x:row r="242">
      <x:c r="C242" s="6"/>
      <x:c r="D242" s="6"/>
      <x:c r="E242" s="10"/>
    </x:row>
    <x:row r="243">
      <x:c r="C243" s="6"/>
      <x:c r="D243" s="6"/>
      <x:c r="E243" s="10"/>
    </x:row>
    <x:row r="244">
      <x:c r="C244" s="6"/>
      <x:c r="D244" s="6"/>
      <x:c r="E244" s="10"/>
    </x:row>
    <x:row r="245">
      <x:c r="C245" s="6"/>
      <x:c r="D245" s="6"/>
      <x:c r="E245" s="10"/>
    </x:row>
    <x:row r="246">
      <x:c r="C246" s="6"/>
      <x:c r="D246" s="6"/>
      <x:c r="E246" s="10"/>
    </x:row>
    <x:row r="247">
      <x:c r="C247" s="6"/>
      <x:c r="D247" s="6"/>
      <x:c r="E247" s="10"/>
    </x:row>
    <x:row r="248">
      <x:c r="C248" s="6"/>
      <x:c r="D248" s="6"/>
      <x:c r="E248" s="10"/>
    </x:row>
    <x:row r="249">
      <x:c r="C249" s="6"/>
      <x:c r="D249" s="6"/>
      <x:c r="E249" s="10"/>
    </x:row>
    <x:row r="250">
      <x:c r="C250" s="6"/>
      <x:c r="D250" s="6"/>
      <x:c r="E250" s="10"/>
    </x:row>
    <x:row r="251">
      <x:c r="C251" s="6"/>
      <x:c r="D251" s="6"/>
      <x:c r="E251" s="10"/>
    </x:row>
    <x:row r="252">
      <x:c r="C252" s="6"/>
      <x:c r="D252" s="6"/>
      <x:c r="E252" s="10"/>
    </x:row>
    <x:row r="253">
      <x:c r="C253" s="6"/>
      <x:c r="D253" s="6"/>
      <x:c r="E253" s="10"/>
    </x:row>
    <x:row r="254">
      <x:c r="C254" s="6"/>
      <x:c r="D254" s="6"/>
      <x:c r="E254" s="10"/>
    </x:row>
    <x:row r="255">
      <x:c r="C255" s="6"/>
      <x:c r="D255" s="6"/>
      <x:c r="E255" s="10"/>
    </x:row>
    <x:row r="256">
      <x:c r="C256" s="6"/>
      <x:c r="D256" s="6"/>
      <x:c r="E256" s="10"/>
    </x:row>
    <x:row r="257">
      <x:c r="C257" s="6"/>
      <x:c r="D257" s="6"/>
      <x:c r="E257" s="10"/>
    </x:row>
    <x:row r="258">
      <x:c r="C258" s="6"/>
      <x:c r="D258" s="6"/>
      <x:c r="E258" s="10"/>
    </x:row>
    <x:row r="259">
      <x:c r="C259" s="6"/>
      <x:c r="D259" s="6"/>
      <x:c r="E259" s="10"/>
    </x:row>
    <x:row r="260">
      <x:c r="C260" s="6"/>
      <x:c r="D260" s="6"/>
      <x:c r="E260" s="10"/>
    </x:row>
    <x:row r="261">
      <x:c r="C261" s="6"/>
      <x:c r="D261" s="6"/>
      <x:c r="E261" s="10"/>
    </x:row>
    <x:row r="262">
      <x:c r="C262" s="6"/>
      <x:c r="D262" s="6"/>
      <x:c r="E262" s="10"/>
    </x:row>
    <x:row r="263">
      <x:c r="C263" s="6"/>
      <x:c r="D263" s="6"/>
      <x:c r="E263" s="10"/>
    </x:row>
    <x:row r="264">
      <x:c r="C264" s="6"/>
      <x:c r="D264" s="6"/>
      <x:c r="E264" s="10"/>
    </x:row>
    <x:row r="265">
      <x:c r="C265" s="6"/>
      <x:c r="D265" s="6"/>
      <x:c r="E265" s="10"/>
    </x:row>
    <x:row r="266">
      <x:c r="C266" s="6"/>
      <x:c r="D266" s="6"/>
      <x:c r="E266" s="10"/>
    </x:row>
    <x:row r="267">
      <x:c r="C267" s="6"/>
      <x:c r="D267" s="6"/>
      <x:c r="E267" s="10"/>
    </x:row>
    <x:row r="268">
      <x:c r="C268" s="6"/>
      <x:c r="D268" s="6"/>
      <x:c r="E268" s="10"/>
    </x:row>
    <x:row r="269">
      <x:c r="C269" s="6"/>
      <x:c r="D269" s="6"/>
      <x:c r="E269" s="10"/>
    </x:row>
    <x:row r="270">
      <x:c r="C270" s="6"/>
      <x:c r="D270" s="6"/>
      <x:c r="E270" s="10"/>
    </x:row>
    <x:row r="271">
      <x:c r="C271" s="6"/>
      <x:c r="D271" s="6"/>
      <x:c r="E271" s="10"/>
    </x:row>
    <x:row r="272">
      <x:c r="C272" s="6"/>
      <x:c r="D272" s="6"/>
      <x:c r="E272" s="10"/>
    </x:row>
    <x:row r="273">
      <x:c r="C273" s="6"/>
      <x:c r="D273" s="6"/>
      <x:c r="E273" s="10"/>
    </x:row>
    <x:row r="274">
      <x:c r="C274" s="6"/>
      <x:c r="D274" s="6"/>
      <x:c r="E274" s="10"/>
    </x:row>
    <x:row r="275">
      <x:c r="C275" s="6"/>
      <x:c r="D275" s="6"/>
      <x:c r="E275" s="10"/>
    </x:row>
    <x:row r="276">
      <x:c r="C276" s="6"/>
      <x:c r="D276" s="6"/>
      <x:c r="E276" s="10"/>
    </x:row>
    <x:row r="277">
      <x:c r="C277" s="6"/>
      <x:c r="D277" s="6"/>
      <x:c r="E277" s="10"/>
    </x:row>
    <x:row r="278">
      <x:c r="C278" s="6"/>
      <x:c r="D278" s="6"/>
      <x:c r="E278" s="10"/>
    </x:row>
    <x:row r="279">
      <x:c r="C279" s="6"/>
      <x:c r="D279" s="6"/>
      <x:c r="E279" s="10"/>
    </x:row>
    <x:row r="280">
      <x:c r="C280" s="6"/>
      <x:c r="D280" s="6"/>
      <x:c r="E280" s="10"/>
    </x:row>
    <x:row r="281">
      <x:c r="C281" s="6"/>
      <x:c r="D281" s="6"/>
      <x:c r="E281" s="10"/>
    </x:row>
    <x:row r="282">
      <x:c r="C282" s="6"/>
      <x:c r="D282" s="6"/>
      <x:c r="E282" s="10"/>
    </x:row>
    <x:row r="283">
      <x:c r="C283" s="6"/>
      <x:c r="D283" s="6"/>
      <x:c r="E283" s="10"/>
    </x:row>
    <x:row r="284">
      <x:c r="C284" s="6"/>
      <x:c r="D284" s="6"/>
      <x:c r="E284" s="10"/>
    </x:row>
    <x:row r="285">
      <x:c r="C285" s="6"/>
      <x:c r="D285" s="6"/>
      <x:c r="E285" s="10"/>
    </x:row>
    <x:row r="286">
      <x:c r="C286" s="6"/>
      <x:c r="D286" s="6"/>
      <x:c r="E286" s="10"/>
    </x:row>
    <x:row r="287">
      <x:c r="C287" s="6"/>
      <x:c r="D287" s="6"/>
      <x:c r="E287" s="10"/>
    </x:row>
    <x:row r="288">
      <x:c r="C288" s="6"/>
      <x:c r="D288" s="6"/>
      <x:c r="E288" s="10"/>
    </x:row>
    <x:row r="289">
      <x:c r="C289" s="6"/>
      <x:c r="D289" s="6"/>
      <x:c r="E289" s="10"/>
    </x:row>
    <x:row r="290">
      <x:c r="C290" s="6"/>
      <x:c r="D290" s="6"/>
      <x:c r="E290" s="10"/>
    </x:row>
    <x:row r="291">
      <x:c r="C291" s="6"/>
      <x:c r="D291" s="6"/>
      <x:c r="E291" s="10"/>
    </x:row>
    <x:row r="292">
      <x:c r="C292" s="6"/>
      <x:c r="D292" s="6"/>
      <x:c r="E292" s="10"/>
    </x:row>
    <x:row r="293">
      <x:c r="C293" s="6"/>
      <x:c r="D293" s="6"/>
      <x:c r="E293" s="10"/>
    </x:row>
    <x:row r="294">
      <x:c r="C294" s="6"/>
      <x:c r="D294" s="6"/>
      <x:c r="E294" s="10"/>
    </x:row>
    <x:row r="295">
      <x:c r="C295" s="6"/>
      <x:c r="D295" s="6"/>
      <x:c r="E295" s="10"/>
    </x:row>
    <x:row r="296">
      <x:c r="C296" s="6"/>
      <x:c r="D296" s="6"/>
      <x:c r="E296" s="10"/>
    </x:row>
    <x:row r="297">
      <x:c r="C297" s="6"/>
      <x:c r="D297" s="6"/>
      <x:c r="E297" s="10"/>
    </x:row>
    <x:row r="298">
      <x:c r="C298" s="6"/>
      <x:c r="D298" s="6"/>
      <x:c r="E298" s="10"/>
    </x:row>
    <x:row r="299">
      <x:c r="C299" s="6"/>
      <x:c r="D299" s="6"/>
      <x:c r="E299" s="10"/>
    </x:row>
    <x:row r="300">
      <x:c r="C300" s="6"/>
      <x:c r="D300" s="6"/>
      <x:c r="E300" s="10"/>
    </x:row>
    <x:row r="301">
      <x:c r="C301" s="6"/>
      <x:c r="D301" s="6"/>
      <x:c r="E301" s="10"/>
    </x:row>
  </x:sheetData>
  <x:mergeCells>
    <x:mergeCell ref="A1:J1"/>
    <x:mergeCell ref="A2:J2"/>
  </x:mergeCells>
  <x:conditionalFormatting sqref="C16:E101 C4:E10 C12:E14 C11:C11 E11:E11">
    <x:cfRule type="expression" dxfId="1" priority="2">
      <x:formula>ISBLANK(C4)</x:formula>
    </x:cfRule>
  </x:conditionalFormatting>
  <x:conditionalFormatting sqref="C15:E15">
    <x:cfRule type="expression" dxfId="0" priority="1">
      <x:formula>ISBLANK(C15)</x:formula>
    </x:cfRule>
  </x:conditionalFormatting>
  <x:dataValidations count="1">
    <x:dataValidation type="list" sqref="I4:I301">
      <x:formula1>"faible,moyen,élevé"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efc29e34cb408f"/>
  </x:tableParts>
</x:worksheet>
</file>

<file path=xl/worksheets/sheet4.xml><?xml version="1.0" encoding="utf-8"?>
<x:worksheet xmlns:x="http://schemas.openxmlformats.org/spreadsheetml/2006/main">
  <x:sheetFormatPr baseColWidth="10" defaultColWidth="9" defaultRowHeight="14.25"/>
  <x:cols>
    <x:col min="1" max="1" width="53.029998779296875" hidden="0" customWidth="1"/>
    <x:col min="2" max="2" width="21" hidden="0" customWidth="1"/>
    <x:col min="5" max="5" width="23.959999084472656" hidden="0" customWidth="1"/>
    <x:col min="8" max="8" width="86.68000030517578" hidden="0" customWidth="1"/>
    <x:col min="3" max="3" width="6.059999942779541" hidden="0" customWidth="1"/>
    <x:col min="4" max="4" width="19.110000610351562" hidden="0" customWidth="1"/>
    <x:col min="6" max="6" width="12.649999618530273" hidden="0" customWidth="1"/>
    <x:col min="7" max="7" width="11.84000015258789" hidden="0" customWidth="1"/>
  </x:cols>
  <x:sheetData>
    <x:row r="1" ht="27.950000762939453" customHeight="1">
      <x:c r="A1" s="57" t="str">
        <x:v>Locations journalières</x:v>
      </x:c>
      <x:c r="B1" s="57"/>
      <x:c r="C1" s="57"/>
      <x:c r="D1" s="57"/>
      <x:c r="E1" s="57"/>
      <x:c r="F1" s="57"/>
      <x:c r="G1" s="57"/>
      <x:c r="H1" s="57"/>
    </x:row>
    <x:row r="2" ht="42" customHeight="1">
      <x:c r="A2" s="14" t="str">
        <x:v>Règle métier : Rythmic et PSE 24 mL HAD sont en location par jour.</x:v>
      </x:c>
      <x:c r="B2" s="14"/>
      <x:c r="C2" s="14"/>
      <x:c r="D2" s="14"/>
      <x:c r="E2" s="14"/>
      <x:c r="F2" s="14"/>
      <x:c r="G2" s="14"/>
      <x:c r="H2" s="14"/>
    </x:row>
    <x:row r="3" ht="15">
      <x:c r="A3" s="58" t="str">
        <x:v>methode_id</x:v>
      </x:c>
      <x:c r="B3" s="58" t="str">
        <x:v>location_par_jour_eur</x:v>
      </x:c>
      <x:c r="C3" s="58" t="str">
        <x:v>ACV</x:v>
      </x:c>
      <x:c r="D3" s="58" t="str">
        <x:v>Nbre jour utilisation</x:v>
      </x:c>
      <x:c r="E3" s="58" t="str">
        <x:v>kgco2e_location_par_jour</x:v>
      </x:c>
      <x:c r="F3" s="58" t="str">
        <x:v>source_cout</x:v>
      </x:c>
      <x:c r="G3" s="58" t="str">
        <x:v>source_co2</x:v>
      </x:c>
      <x:c r="H3" s="58" t="str">
        <x:v>commentaire</x:v>
      </x:c>
    </x:row>
    <x:row r="4" ht="33.95000076293945" customHeight="1">
      <x:c r="A4" s="3" t="str">
        <x:v>RYTHMIC_CONT</x:v>
      </x:c>
      <x:c r="B4" s="5" t="n">
        <x:v>12</x:v>
      </x:c>
      <x:c r="C4" s="5" t="n">
        <x:v>27.431</x:v>
      </x:c>
      <x:c r="D4" s="5" t="n">
        <x:v>1540</x:v>
      </x:c>
      <x:c r="E4" s="5" t="n">
        <x:v>0.019812337662337663</x:v>
      </x:c>
      <x:c r="F4" s="5" t="str">
        <x:v>Marchés</x:v>
      </x:c>
      <x:c r="G4" s="5" t="str">
        <x:v>à compléter</x:v>
      </x:c>
      <x:c r="H4" s="3" t="str">
        <x:v>Location pompe Rythmic par jour.</x:v>
      </x:c>
    </x:row>
    <x:row r="5" ht="33.95000076293945" customHeight="1">
      <x:c r="A5" s="3" t="str">
        <x:v>PSE_24_HAD_CONT</x:v>
      </x:c>
      <x:c r="B5" s="5" t="n">
        <x:v>3.6</x:v>
      </x:c>
      <x:c r="C5" s="5" t="n">
        <x:v>24.961</x:v>
      </x:c>
      <x:c r="D5" s="5" t="n">
        <x:v>1250</x:v>
      </x:c>
      <x:c r="E5" s="5" t="n">
        <x:v>0.0399688</x:v>
      </x:c>
      <x:c r="F5" s="5" t="str">
        <x:v>Marchés</x:v>
      </x:c>
      <x:c r="G5" s="5" t="str">
        <x:v>à compléter</x:v>
      </x:c>
      <x:c r="H5" s="3" t="str">
        <x:v>Location pousse-seringue HAD par jour ; consommation électrique incluse dans kgCO2e/jour si documentée.</x:v>
      </x:c>
    </x:row>
    <x:row r="6">
      <x:c r="B6" s="6"/>
      <x:c r="C6" s="8"/>
      <x:c r="D6" s="8"/>
      <x:c r="E6" s="6"/>
      <x:c r="F6" s="6"/>
      <x:c r="G6" s="6"/>
    </x:row>
    <x:row r="7">
      <x:c r="B7" s="6"/>
      <x:c r="C7" s="8"/>
      <x:c r="D7" s="8"/>
      <x:c r="E7" s="6"/>
      <x:c r="F7" s="6"/>
      <x:c r="G7" s="6"/>
    </x:row>
    <x:row r="8">
      <x:c r="B8" s="6"/>
      <x:c r="C8" s="8"/>
      <x:c r="D8" s="8"/>
      <x:c r="E8" s="6"/>
      <x:c r="F8" s="6"/>
      <x:c r="G8" s="6"/>
    </x:row>
    <x:row r="9">
      <x:c r="B9" s="6"/>
      <x:c r="C9" s="8"/>
      <x:c r="D9" s="8"/>
      <x:c r="E9" s="6"/>
      <x:c r="F9" s="6"/>
      <x:c r="G9" s="6"/>
    </x:row>
    <x:row r="10">
      <x:c r="B10" s="6"/>
      <x:c r="C10" s="8"/>
      <x:c r="D10" s="8"/>
      <x:c r="E10" s="6"/>
      <x:c r="F10" s="6"/>
      <x:c r="G10" s="6"/>
    </x:row>
    <x:row r="11">
      <x:c r="B11" s="6"/>
      <x:c r="C11" s="8"/>
      <x:c r="D11" s="8"/>
      <x:c r="E11" s="6"/>
      <x:c r="F11" s="6"/>
      <x:c r="G11" s="6"/>
    </x:row>
    <x:row r="12">
      <x:c r="B12" s="6"/>
      <x:c r="C12" s="8"/>
      <x:c r="D12" s="8"/>
      <x:c r="E12" s="6"/>
      <x:c r="F12" s="6"/>
      <x:c r="G12" s="6"/>
    </x:row>
    <x:row r="13">
      <x:c r="B13" s="6"/>
      <x:c r="C13" s="8"/>
      <x:c r="D13" s="8"/>
      <x:c r="E13" s="6"/>
      <x:c r="F13" s="6"/>
      <x:c r="G13" s="6"/>
    </x:row>
    <x:row r="14">
      <x:c r="B14" s="6"/>
      <x:c r="C14" s="8"/>
      <x:c r="D14" s="8"/>
      <x:c r="E14" s="6"/>
      <x:c r="F14" s="6"/>
      <x:c r="G14" s="6"/>
    </x:row>
    <x:row r="15">
      <x:c r="B15" s="6"/>
      <x:c r="C15" s="8"/>
      <x:c r="D15" s="8"/>
      <x:c r="E15" s="6"/>
      <x:c r="F15" s="6"/>
      <x:c r="G15" s="6"/>
    </x:row>
    <x:row r="16">
      <x:c r="B16" s="6"/>
      <x:c r="C16" s="8"/>
      <x:c r="D16" s="8"/>
      <x:c r="E16" s="6"/>
      <x:c r="F16" s="6"/>
      <x:c r="G16" s="6"/>
    </x:row>
    <x:row r="17">
      <x:c r="B17" s="6"/>
      <x:c r="C17" s="8"/>
      <x:c r="D17" s="8"/>
      <x:c r="E17" s="6"/>
      <x:c r="F17" s="6"/>
      <x:c r="G17" s="6"/>
    </x:row>
    <x:row r="18">
      <x:c r="B18" s="6"/>
      <x:c r="C18" s="8"/>
      <x:c r="D18" s="8"/>
      <x:c r="E18" s="6"/>
      <x:c r="F18" s="6"/>
      <x:c r="G18" s="6"/>
    </x:row>
    <x:row r="19">
      <x:c r="B19" s="6"/>
      <x:c r="C19" s="8"/>
      <x:c r="D19" s="8"/>
      <x:c r="E19" s="6"/>
      <x:c r="F19" s="6"/>
      <x:c r="G19" s="6"/>
    </x:row>
    <x:row r="20">
      <x:c r="B20" s="6"/>
      <x:c r="C20" s="8"/>
      <x:c r="D20" s="8"/>
      <x:c r="E20" s="6"/>
      <x:c r="F20" s="6"/>
      <x:c r="G20" s="6"/>
    </x:row>
    <x:row r="21">
      <x:c r="B21" s="6"/>
      <x:c r="C21" s="8"/>
      <x:c r="D21" s="8"/>
      <x:c r="E21" s="6"/>
      <x:c r="F21" s="6"/>
      <x:c r="G21" s="6"/>
    </x:row>
    <x:row r="22">
      <x:c r="B22" s="6"/>
      <x:c r="C22" s="8"/>
      <x:c r="D22" s="8"/>
      <x:c r="E22" s="6"/>
      <x:c r="F22" s="6"/>
      <x:c r="G22" s="6"/>
    </x:row>
    <x:row r="23">
      <x:c r="B23" s="6"/>
      <x:c r="C23" s="8"/>
      <x:c r="D23" s="8"/>
      <x:c r="E23" s="6"/>
      <x:c r="F23" s="6"/>
      <x:c r="G23" s="6"/>
    </x:row>
    <x:row r="24">
      <x:c r="B24" s="6"/>
      <x:c r="C24" s="8"/>
      <x:c r="D24" s="8"/>
      <x:c r="E24" s="6"/>
      <x:c r="F24" s="6"/>
      <x:c r="G24" s="6"/>
    </x:row>
    <x:row r="25">
      <x:c r="B25" s="6"/>
      <x:c r="C25" s="8"/>
      <x:c r="D25" s="8"/>
      <x:c r="E25" s="6"/>
      <x:c r="F25" s="6"/>
      <x:c r="G25" s="6"/>
    </x:row>
    <x:row r="26">
      <x:c r="B26" s="6"/>
      <x:c r="C26" s="8"/>
      <x:c r="D26" s="8"/>
      <x:c r="E26" s="6"/>
      <x:c r="F26" s="6"/>
      <x:c r="G26" s="6"/>
    </x:row>
    <x:row r="27">
      <x:c r="B27" s="6"/>
      <x:c r="C27" s="8"/>
      <x:c r="D27" s="8"/>
      <x:c r="E27" s="6"/>
      <x:c r="F27" s="6"/>
      <x:c r="G27" s="6"/>
    </x:row>
    <x:row r="28">
      <x:c r="B28" s="6"/>
      <x:c r="C28" s="8"/>
      <x:c r="D28" s="8"/>
      <x:c r="E28" s="6"/>
      <x:c r="F28" s="6"/>
      <x:c r="G28" s="6"/>
    </x:row>
    <x:row r="29">
      <x:c r="B29" s="6"/>
      <x:c r="C29" s="8"/>
      <x:c r="D29" s="8"/>
      <x:c r="E29" s="6"/>
      <x:c r="F29" s="6"/>
      <x:c r="G29" s="6"/>
    </x:row>
    <x:row r="30">
      <x:c r="B30" s="6"/>
      <x:c r="C30" s="8"/>
      <x:c r="D30" s="8"/>
      <x:c r="E30" s="6"/>
      <x:c r="F30" s="6"/>
      <x:c r="G30" s="6"/>
    </x:row>
    <x:row r="31">
      <x:c r="B31" s="6"/>
      <x:c r="C31" s="8"/>
      <x:c r="D31" s="8"/>
      <x:c r="E31" s="6"/>
      <x:c r="F31" s="6"/>
      <x:c r="G31" s="6"/>
    </x:row>
    <x:row r="32">
      <x:c r="B32" s="6"/>
      <x:c r="C32" s="8"/>
      <x:c r="D32" s="8"/>
      <x:c r="E32" s="6"/>
      <x:c r="F32" s="6"/>
      <x:c r="G32" s="6"/>
    </x:row>
    <x:row r="33">
      <x:c r="B33" s="6"/>
      <x:c r="C33" s="8"/>
      <x:c r="D33" s="8"/>
      <x:c r="E33" s="6"/>
      <x:c r="F33" s="6"/>
      <x:c r="G33" s="6"/>
    </x:row>
    <x:row r="34">
      <x:c r="B34" s="6"/>
      <x:c r="C34" s="8"/>
      <x:c r="D34" s="8"/>
      <x:c r="E34" s="6"/>
      <x:c r="F34" s="6"/>
      <x:c r="G34" s="6"/>
    </x:row>
    <x:row r="35">
      <x:c r="B35" s="6"/>
      <x:c r="C35" s="8"/>
      <x:c r="D35" s="8"/>
      <x:c r="E35" s="6"/>
      <x:c r="F35" s="6"/>
      <x:c r="G35" s="6"/>
    </x:row>
    <x:row r="36">
      <x:c r="B36" s="6"/>
      <x:c r="C36" s="8"/>
      <x:c r="D36" s="8"/>
      <x:c r="E36" s="6"/>
      <x:c r="F36" s="6"/>
      <x:c r="G36" s="6"/>
    </x:row>
    <x:row r="37">
      <x:c r="B37" s="6"/>
      <x:c r="C37" s="8"/>
      <x:c r="D37" s="8"/>
      <x:c r="E37" s="6"/>
      <x:c r="F37" s="6"/>
      <x:c r="G37" s="6"/>
    </x:row>
    <x:row r="38">
      <x:c r="B38" s="6"/>
      <x:c r="C38" s="8"/>
      <x:c r="D38" s="8"/>
      <x:c r="E38" s="6"/>
      <x:c r="F38" s="6"/>
      <x:c r="G38" s="6"/>
    </x:row>
    <x:row r="39">
      <x:c r="B39" s="6"/>
      <x:c r="C39" s="8"/>
      <x:c r="D39" s="8"/>
      <x:c r="E39" s="6"/>
      <x:c r="F39" s="6"/>
      <x:c r="G39" s="6"/>
    </x:row>
    <x:row r="40">
      <x:c r="B40" s="6"/>
      <x:c r="C40" s="8"/>
      <x:c r="D40" s="8"/>
      <x:c r="E40" s="6"/>
      <x:c r="F40" s="6"/>
      <x:c r="G40" s="6"/>
    </x:row>
    <x:row r="41">
      <x:c r="B41" s="6"/>
      <x:c r="C41" s="8"/>
      <x:c r="D41" s="8"/>
      <x:c r="E41" s="6"/>
      <x:c r="F41" s="6"/>
      <x:c r="G41" s="6"/>
    </x:row>
    <x:row r="42">
      <x:c r="B42" s="6"/>
      <x:c r="C42" s="8"/>
      <x:c r="D42" s="8"/>
      <x:c r="E42" s="6"/>
      <x:c r="F42" s="6"/>
      <x:c r="G42" s="6"/>
    </x:row>
    <x:row r="43">
      <x:c r="B43" s="6"/>
      <x:c r="C43" s="8"/>
      <x:c r="D43" s="8"/>
      <x:c r="E43" s="6"/>
      <x:c r="F43" s="6"/>
      <x:c r="G43" s="6"/>
    </x:row>
    <x:row r="44">
      <x:c r="B44" s="6"/>
      <x:c r="C44" s="8"/>
      <x:c r="D44" s="8"/>
      <x:c r="E44" s="6"/>
      <x:c r="F44" s="6"/>
      <x:c r="G44" s="6"/>
    </x:row>
    <x:row r="45">
      <x:c r="B45" s="6"/>
      <x:c r="C45" s="8"/>
      <x:c r="D45" s="8"/>
      <x:c r="E45" s="6"/>
      <x:c r="F45" s="6"/>
      <x:c r="G45" s="6"/>
    </x:row>
    <x:row r="46">
      <x:c r="B46" s="6"/>
      <x:c r="C46" s="8"/>
      <x:c r="D46" s="8"/>
      <x:c r="E46" s="6"/>
      <x:c r="F46" s="6"/>
      <x:c r="G46" s="6"/>
    </x:row>
    <x:row r="47">
      <x:c r="B47" s="6"/>
      <x:c r="C47" s="8"/>
      <x:c r="D47" s="8"/>
      <x:c r="E47" s="6"/>
      <x:c r="F47" s="6"/>
      <x:c r="G47" s="6"/>
    </x:row>
    <x:row r="48">
      <x:c r="B48" s="6"/>
      <x:c r="C48" s="8"/>
      <x:c r="D48" s="8"/>
      <x:c r="E48" s="6"/>
      <x:c r="F48" s="6"/>
      <x:c r="G48" s="6"/>
    </x:row>
    <x:row r="49">
      <x:c r="B49" s="6"/>
      <x:c r="C49" s="8"/>
      <x:c r="D49" s="8"/>
      <x:c r="E49" s="6"/>
      <x:c r="F49" s="6"/>
      <x:c r="G49" s="6"/>
    </x:row>
    <x:row r="50">
      <x:c r="B50" s="6"/>
      <x:c r="C50" s="8"/>
      <x:c r="D50" s="8"/>
      <x:c r="E50" s="6"/>
      <x:c r="F50" s="6"/>
      <x:c r="G50" s="6"/>
    </x:row>
    <x:row r="51">
      <x:c r="B51" s="6"/>
      <x:c r="C51" s="8"/>
      <x:c r="D51" s="8"/>
      <x:c r="E51" s="6"/>
      <x:c r="F51" s="6"/>
      <x:c r="G51" s="6"/>
    </x:row>
    <x:row r="52">
      <x:c r="B52" s="6"/>
      <x:c r="C52" s="8"/>
      <x:c r="D52" s="8"/>
      <x:c r="E52" s="6"/>
      <x:c r="F52" s="6"/>
      <x:c r="G52" s="6"/>
    </x:row>
    <x:row r="53">
      <x:c r="B53" s="6"/>
      <x:c r="C53" s="8"/>
      <x:c r="D53" s="8"/>
      <x:c r="E53" s="6"/>
      <x:c r="F53" s="6"/>
      <x:c r="G53" s="6"/>
    </x:row>
    <x:row r="54">
      <x:c r="B54" s="6"/>
      <x:c r="C54" s="8"/>
      <x:c r="D54" s="8"/>
      <x:c r="E54" s="6"/>
      <x:c r="F54" s="6"/>
      <x:c r="G54" s="6"/>
    </x:row>
    <x:row r="55">
      <x:c r="B55" s="6"/>
      <x:c r="C55" s="8"/>
      <x:c r="D55" s="8"/>
      <x:c r="E55" s="6"/>
      <x:c r="F55" s="6"/>
      <x:c r="G55" s="6"/>
    </x:row>
    <x:row r="56">
      <x:c r="B56" s="6"/>
      <x:c r="C56" s="8"/>
      <x:c r="D56" s="8"/>
      <x:c r="E56" s="6"/>
      <x:c r="F56" s="6"/>
      <x:c r="G56" s="6"/>
    </x:row>
    <x:row r="57">
      <x:c r="B57" s="6"/>
      <x:c r="C57" s="8"/>
      <x:c r="D57" s="8"/>
      <x:c r="E57" s="6"/>
      <x:c r="F57" s="6"/>
      <x:c r="G57" s="6"/>
    </x:row>
    <x:row r="58">
      <x:c r="B58" s="6"/>
      <x:c r="C58" s="8"/>
      <x:c r="D58" s="8"/>
      <x:c r="E58" s="6"/>
      <x:c r="F58" s="6"/>
      <x:c r="G58" s="6"/>
    </x:row>
    <x:row r="59">
      <x:c r="B59" s="6"/>
      <x:c r="C59" s="8"/>
      <x:c r="D59" s="8"/>
      <x:c r="E59" s="6"/>
      <x:c r="F59" s="6"/>
      <x:c r="G59" s="6"/>
    </x:row>
    <x:row r="60">
      <x:c r="B60" s="6"/>
      <x:c r="C60" s="8"/>
      <x:c r="D60" s="8"/>
      <x:c r="E60" s="6"/>
      <x:c r="F60" s="6"/>
      <x:c r="G60" s="6"/>
    </x:row>
    <x:row r="61">
      <x:c r="B61" s="6"/>
      <x:c r="C61" s="8"/>
      <x:c r="D61" s="8"/>
      <x:c r="E61" s="6"/>
      <x:c r="F61" s="6"/>
      <x:c r="G61" s="6"/>
    </x:row>
    <x:row r="62">
      <x:c r="B62" s="6"/>
      <x:c r="C62" s="8"/>
      <x:c r="D62" s="8"/>
      <x:c r="E62" s="6"/>
      <x:c r="F62" s="6"/>
      <x:c r="G62" s="6"/>
    </x:row>
    <x:row r="63">
      <x:c r="B63" s="6"/>
      <x:c r="C63" s="8"/>
      <x:c r="D63" s="8"/>
      <x:c r="E63" s="6"/>
      <x:c r="F63" s="6"/>
      <x:c r="G63" s="6"/>
    </x:row>
    <x:row r="64">
      <x:c r="B64" s="6"/>
      <x:c r="C64" s="8"/>
      <x:c r="D64" s="8"/>
      <x:c r="E64" s="6"/>
      <x:c r="F64" s="6"/>
      <x:c r="G64" s="6"/>
    </x:row>
    <x:row r="65">
      <x:c r="B65" s="6"/>
      <x:c r="C65" s="8"/>
      <x:c r="D65" s="8"/>
      <x:c r="E65" s="6"/>
      <x:c r="F65" s="6"/>
      <x:c r="G65" s="6"/>
    </x:row>
    <x:row r="66">
      <x:c r="B66" s="6"/>
      <x:c r="C66" s="8"/>
      <x:c r="D66" s="8"/>
      <x:c r="E66" s="6"/>
      <x:c r="F66" s="6"/>
      <x:c r="G66" s="6"/>
    </x:row>
    <x:row r="67">
      <x:c r="B67" s="6"/>
      <x:c r="C67" s="8"/>
      <x:c r="D67" s="8"/>
      <x:c r="E67" s="6"/>
      <x:c r="F67" s="6"/>
      <x:c r="G67" s="6"/>
    </x:row>
    <x:row r="68">
      <x:c r="B68" s="6"/>
      <x:c r="C68" s="8"/>
      <x:c r="D68" s="8"/>
      <x:c r="E68" s="6"/>
      <x:c r="F68" s="6"/>
      <x:c r="G68" s="6"/>
    </x:row>
    <x:row r="69">
      <x:c r="B69" s="6"/>
      <x:c r="C69" s="8"/>
      <x:c r="D69" s="8"/>
      <x:c r="E69" s="6"/>
      <x:c r="F69" s="6"/>
      <x:c r="G69" s="6"/>
    </x:row>
    <x:row r="70">
      <x:c r="B70" s="6"/>
      <x:c r="C70" s="8"/>
      <x:c r="D70" s="8"/>
      <x:c r="E70" s="6"/>
      <x:c r="F70" s="6"/>
      <x:c r="G70" s="6"/>
    </x:row>
    <x:row r="71">
      <x:c r="B71" s="6"/>
      <x:c r="C71" s="8"/>
      <x:c r="D71" s="8"/>
      <x:c r="E71" s="6"/>
      <x:c r="F71" s="6"/>
      <x:c r="G71" s="6"/>
    </x:row>
    <x:row r="72">
      <x:c r="B72" s="6"/>
      <x:c r="C72" s="8"/>
      <x:c r="D72" s="8"/>
      <x:c r="E72" s="6"/>
      <x:c r="F72" s="6"/>
      <x:c r="G72" s="6"/>
    </x:row>
    <x:row r="73">
      <x:c r="B73" s="6"/>
      <x:c r="C73" s="8"/>
      <x:c r="D73" s="8"/>
      <x:c r="E73" s="6"/>
      <x:c r="F73" s="6"/>
      <x:c r="G73" s="6"/>
    </x:row>
    <x:row r="74">
      <x:c r="B74" s="6"/>
      <x:c r="C74" s="8"/>
      <x:c r="D74" s="8"/>
      <x:c r="E74" s="6"/>
      <x:c r="F74" s="6"/>
      <x:c r="G74" s="6"/>
    </x:row>
    <x:row r="75">
      <x:c r="B75" s="6"/>
      <x:c r="C75" s="8"/>
      <x:c r="D75" s="8"/>
      <x:c r="E75" s="6"/>
      <x:c r="F75" s="6"/>
      <x:c r="G75" s="6"/>
    </x:row>
    <x:row r="76">
      <x:c r="B76" s="6"/>
      <x:c r="C76" s="8"/>
      <x:c r="D76" s="8"/>
      <x:c r="E76" s="6"/>
      <x:c r="F76" s="6"/>
      <x:c r="G76" s="6"/>
    </x:row>
    <x:row r="77">
      <x:c r="B77" s="6"/>
      <x:c r="C77" s="8"/>
      <x:c r="D77" s="8"/>
      <x:c r="E77" s="6"/>
      <x:c r="F77" s="6"/>
      <x:c r="G77" s="6"/>
    </x:row>
    <x:row r="78">
      <x:c r="B78" s="6"/>
      <x:c r="C78" s="8"/>
      <x:c r="D78" s="8"/>
      <x:c r="E78" s="6"/>
      <x:c r="F78" s="6"/>
      <x:c r="G78" s="6"/>
    </x:row>
    <x:row r="79">
      <x:c r="B79" s="6"/>
      <x:c r="C79" s="8"/>
      <x:c r="D79" s="8"/>
      <x:c r="E79" s="6"/>
      <x:c r="F79" s="6"/>
      <x:c r="G79" s="6"/>
    </x:row>
    <x:row r="80">
      <x:c r="B80" s="6"/>
      <x:c r="C80" s="8"/>
      <x:c r="D80" s="8"/>
      <x:c r="E80" s="6"/>
      <x:c r="F80" s="6"/>
      <x:c r="G80" s="6"/>
    </x:row>
    <x:row r="81">
      <x:c r="B81" s="6"/>
      <x:c r="C81" s="8"/>
      <x:c r="D81" s="8"/>
      <x:c r="E81" s="6"/>
      <x:c r="F81" s="6"/>
      <x:c r="G81" s="6"/>
    </x:row>
    <x:row r="82">
      <x:c r="B82" s="6"/>
      <x:c r="C82" s="8"/>
      <x:c r="D82" s="8"/>
      <x:c r="E82" s="6"/>
      <x:c r="F82" s="6"/>
      <x:c r="G82" s="6"/>
    </x:row>
    <x:row r="83">
      <x:c r="B83" s="6"/>
      <x:c r="C83" s="8"/>
      <x:c r="D83" s="8"/>
      <x:c r="E83" s="6"/>
      <x:c r="F83" s="6"/>
      <x:c r="G83" s="6"/>
    </x:row>
    <x:row r="84">
      <x:c r="B84" s="6"/>
      <x:c r="C84" s="8"/>
      <x:c r="D84" s="8"/>
      <x:c r="E84" s="6"/>
      <x:c r="F84" s="6"/>
      <x:c r="G84" s="6"/>
    </x:row>
    <x:row r="85">
      <x:c r="B85" s="6"/>
      <x:c r="C85" s="8"/>
      <x:c r="D85" s="8"/>
      <x:c r="E85" s="6"/>
      <x:c r="F85" s="6"/>
      <x:c r="G85" s="6"/>
    </x:row>
    <x:row r="86">
      <x:c r="B86" s="6"/>
      <x:c r="C86" s="8"/>
      <x:c r="D86" s="8"/>
      <x:c r="E86" s="6"/>
      <x:c r="F86" s="6"/>
      <x:c r="G86" s="6"/>
    </x:row>
    <x:row r="87">
      <x:c r="B87" s="6"/>
      <x:c r="C87" s="8"/>
      <x:c r="D87" s="8"/>
      <x:c r="E87" s="6"/>
      <x:c r="F87" s="6"/>
      <x:c r="G87" s="6"/>
    </x:row>
    <x:row r="88">
      <x:c r="B88" s="6"/>
      <x:c r="C88" s="8"/>
      <x:c r="D88" s="8"/>
      <x:c r="E88" s="6"/>
      <x:c r="F88" s="6"/>
      <x:c r="G88" s="6"/>
    </x:row>
    <x:row r="89">
      <x:c r="B89" s="6"/>
      <x:c r="C89" s="8"/>
      <x:c r="D89" s="8"/>
      <x:c r="E89" s="6"/>
      <x:c r="F89" s="6"/>
      <x:c r="G89" s="6"/>
    </x:row>
    <x:row r="90">
      <x:c r="B90" s="6"/>
      <x:c r="C90" s="8"/>
      <x:c r="D90" s="8"/>
      <x:c r="E90" s="6"/>
      <x:c r="F90" s="6"/>
      <x:c r="G90" s="6"/>
    </x:row>
    <x:row r="91">
      <x:c r="B91" s="6"/>
      <x:c r="C91" s="8"/>
      <x:c r="D91" s="8"/>
      <x:c r="E91" s="6"/>
      <x:c r="F91" s="6"/>
      <x:c r="G91" s="6"/>
    </x:row>
    <x:row r="92">
      <x:c r="B92" s="6"/>
      <x:c r="C92" s="8"/>
      <x:c r="D92" s="8"/>
      <x:c r="E92" s="6"/>
      <x:c r="F92" s="6"/>
      <x:c r="G92" s="6"/>
    </x:row>
    <x:row r="93">
      <x:c r="B93" s="6"/>
      <x:c r="C93" s="8"/>
      <x:c r="D93" s="8"/>
      <x:c r="E93" s="6"/>
      <x:c r="F93" s="6"/>
      <x:c r="G93" s="6"/>
    </x:row>
    <x:row r="94">
      <x:c r="B94" s="6"/>
      <x:c r="C94" s="8"/>
      <x:c r="D94" s="8"/>
      <x:c r="E94" s="6"/>
      <x:c r="F94" s="6"/>
      <x:c r="G94" s="6"/>
    </x:row>
    <x:row r="95">
      <x:c r="B95" s="6"/>
      <x:c r="C95" s="8"/>
      <x:c r="D95" s="8"/>
      <x:c r="E95" s="6"/>
      <x:c r="F95" s="6"/>
      <x:c r="G95" s="6"/>
    </x:row>
    <x:row r="96">
      <x:c r="B96" s="6"/>
      <x:c r="C96" s="8"/>
      <x:c r="D96" s="8"/>
      <x:c r="E96" s="6"/>
      <x:c r="F96" s="6"/>
      <x:c r="G96" s="6"/>
    </x:row>
    <x:row r="97">
      <x:c r="B97" s="6"/>
      <x:c r="C97" s="8"/>
      <x:c r="D97" s="8"/>
      <x:c r="E97" s="6"/>
      <x:c r="F97" s="6"/>
      <x:c r="G97" s="6"/>
    </x:row>
    <x:row r="98">
      <x:c r="B98" s="6"/>
      <x:c r="C98" s="8"/>
      <x:c r="D98" s="8"/>
      <x:c r="E98" s="6"/>
      <x:c r="F98" s="6"/>
      <x:c r="G98" s="6"/>
    </x:row>
    <x:row r="99">
      <x:c r="B99" s="6"/>
      <x:c r="C99" s="8"/>
      <x:c r="D99" s="8"/>
      <x:c r="E99" s="6"/>
      <x:c r="F99" s="6"/>
      <x:c r="G99" s="6"/>
    </x:row>
    <x:row r="100">
      <x:c r="B100" s="6"/>
      <x:c r="C100" s="8"/>
      <x:c r="D100" s="8"/>
      <x:c r="E100" s="6"/>
      <x:c r="F100" s="6"/>
      <x:c r="G100" s="6"/>
    </x:row>
    <x:row r="101">
      <x:c r="B101" s="6"/>
      <x:c r="C101" s="8"/>
      <x:c r="D101" s="8"/>
      <x:c r="E101" s="6"/>
      <x:c r="F101" s="6"/>
      <x:c r="G101" s="6"/>
    </x:row>
    <x:row r="102">
      <x:c r="B102" s="6"/>
      <x:c r="C102" s="8"/>
      <x:c r="D102" s="8"/>
      <x:c r="E102" s="6"/>
      <x:c r="F102" s="6"/>
      <x:c r="G102" s="6"/>
    </x:row>
    <x:row r="103">
      <x:c r="B103" s="6"/>
      <x:c r="C103" s="8"/>
      <x:c r="D103" s="8"/>
      <x:c r="E103" s="6"/>
      <x:c r="F103" s="6"/>
      <x:c r="G103" s="6"/>
    </x:row>
    <x:row r="104">
      <x:c r="B104" s="6"/>
      <x:c r="C104" s="8"/>
      <x:c r="D104" s="8"/>
      <x:c r="E104" s="6"/>
      <x:c r="F104" s="6"/>
      <x:c r="G104" s="6"/>
    </x:row>
    <x:row r="105">
      <x:c r="B105" s="6"/>
      <x:c r="C105" s="8"/>
      <x:c r="D105" s="8"/>
      <x:c r="E105" s="6"/>
      <x:c r="F105" s="6"/>
      <x:c r="G105" s="6"/>
    </x:row>
    <x:row r="106">
      <x:c r="B106" s="6"/>
      <x:c r="C106" s="8"/>
      <x:c r="D106" s="8"/>
      <x:c r="E106" s="6"/>
      <x:c r="F106" s="6"/>
      <x:c r="G106" s="6"/>
    </x:row>
    <x:row r="107">
      <x:c r="B107" s="6"/>
      <x:c r="C107" s="8"/>
      <x:c r="D107" s="8"/>
      <x:c r="E107" s="6"/>
      <x:c r="F107" s="6"/>
      <x:c r="G107" s="6"/>
    </x:row>
    <x:row r="108">
      <x:c r="B108" s="6"/>
      <x:c r="C108" s="8"/>
      <x:c r="D108" s="8"/>
      <x:c r="E108" s="6"/>
      <x:c r="F108" s="6"/>
      <x:c r="G108" s="6"/>
    </x:row>
    <x:row r="109">
      <x:c r="B109" s="6"/>
      <x:c r="C109" s="8"/>
      <x:c r="D109" s="8"/>
      <x:c r="E109" s="6"/>
      <x:c r="F109" s="6"/>
      <x:c r="G109" s="6"/>
    </x:row>
    <x:row r="110">
      <x:c r="B110" s="6"/>
      <x:c r="C110" s="8"/>
      <x:c r="D110" s="8"/>
      <x:c r="E110" s="6"/>
      <x:c r="F110" s="6"/>
      <x:c r="G110" s="6"/>
    </x:row>
    <x:row r="111">
      <x:c r="B111" s="6"/>
      <x:c r="C111" s="8"/>
      <x:c r="D111" s="8"/>
      <x:c r="E111" s="6"/>
      <x:c r="F111" s="6"/>
      <x:c r="G111" s="6"/>
    </x:row>
    <x:row r="112">
      <x:c r="B112" s="6"/>
      <x:c r="C112" s="8"/>
      <x:c r="D112" s="8"/>
      <x:c r="E112" s="6"/>
      <x:c r="F112" s="6"/>
      <x:c r="G112" s="6"/>
    </x:row>
    <x:row r="113">
      <x:c r="B113" s="6"/>
      <x:c r="C113" s="8"/>
      <x:c r="D113" s="8"/>
      <x:c r="E113" s="6"/>
      <x:c r="F113" s="6"/>
      <x:c r="G113" s="6"/>
    </x:row>
    <x:row r="114">
      <x:c r="B114" s="6"/>
      <x:c r="C114" s="8"/>
      <x:c r="D114" s="8"/>
      <x:c r="E114" s="6"/>
      <x:c r="F114" s="6"/>
      <x:c r="G114" s="6"/>
    </x:row>
    <x:row r="115">
      <x:c r="B115" s="6"/>
      <x:c r="C115" s="8"/>
      <x:c r="D115" s="8"/>
      <x:c r="E115" s="6"/>
      <x:c r="F115" s="6"/>
      <x:c r="G115" s="6"/>
    </x:row>
    <x:row r="116">
      <x:c r="B116" s="6"/>
      <x:c r="C116" s="8"/>
      <x:c r="D116" s="8"/>
      <x:c r="E116" s="6"/>
      <x:c r="F116" s="6"/>
      <x:c r="G116" s="6"/>
    </x:row>
    <x:row r="117">
      <x:c r="B117" s="6"/>
      <x:c r="C117" s="8"/>
      <x:c r="D117" s="8"/>
      <x:c r="E117" s="6"/>
      <x:c r="F117" s="6"/>
      <x:c r="G117" s="6"/>
    </x:row>
    <x:row r="118">
      <x:c r="B118" s="6"/>
      <x:c r="C118" s="8"/>
      <x:c r="D118" s="8"/>
      <x:c r="E118" s="6"/>
      <x:c r="F118" s="6"/>
      <x:c r="G118" s="6"/>
    </x:row>
    <x:row r="119">
      <x:c r="B119" s="6"/>
      <x:c r="C119" s="8"/>
      <x:c r="D119" s="8"/>
      <x:c r="E119" s="6"/>
      <x:c r="F119" s="6"/>
      <x:c r="G119" s="6"/>
    </x:row>
    <x:row r="120">
      <x:c r="B120" s="6"/>
      <x:c r="C120" s="8"/>
      <x:c r="D120" s="8"/>
      <x:c r="E120" s="6"/>
      <x:c r="F120" s="6"/>
      <x:c r="G120" s="6"/>
    </x:row>
    <x:row r="121">
      <x:c r="B121" s="6"/>
      <x:c r="C121" s="8"/>
      <x:c r="D121" s="8"/>
      <x:c r="E121" s="6"/>
      <x:c r="F121" s="6"/>
      <x:c r="G121" s="6"/>
    </x:row>
    <x:row r="122">
      <x:c r="B122" s="6"/>
      <x:c r="C122" s="8"/>
      <x:c r="D122" s="8"/>
      <x:c r="E122" s="6"/>
      <x:c r="F122" s="6"/>
      <x:c r="G122" s="6"/>
    </x:row>
    <x:row r="123">
      <x:c r="B123" s="6"/>
      <x:c r="C123" s="8"/>
      <x:c r="D123" s="8"/>
      <x:c r="E123" s="6"/>
      <x:c r="F123" s="6"/>
      <x:c r="G123" s="6"/>
    </x:row>
    <x:row r="124">
      <x:c r="B124" s="6"/>
      <x:c r="C124" s="8"/>
      <x:c r="D124" s="8"/>
      <x:c r="E124" s="6"/>
      <x:c r="F124" s="6"/>
      <x:c r="G124" s="6"/>
    </x:row>
    <x:row r="125">
      <x:c r="B125" s="6"/>
      <x:c r="C125" s="8"/>
      <x:c r="D125" s="8"/>
      <x:c r="E125" s="6"/>
      <x:c r="F125" s="6"/>
      <x:c r="G125" s="6"/>
    </x:row>
    <x:row r="126">
      <x:c r="B126" s="6"/>
      <x:c r="C126" s="8"/>
      <x:c r="D126" s="8"/>
      <x:c r="E126" s="6"/>
      <x:c r="F126" s="6"/>
      <x:c r="G126" s="6"/>
    </x:row>
    <x:row r="127">
      <x:c r="B127" s="6"/>
      <x:c r="C127" s="8"/>
      <x:c r="D127" s="8"/>
      <x:c r="E127" s="6"/>
      <x:c r="F127" s="6"/>
      <x:c r="G127" s="6"/>
    </x:row>
    <x:row r="128">
      <x:c r="B128" s="6"/>
      <x:c r="C128" s="8"/>
      <x:c r="D128" s="8"/>
      <x:c r="E128" s="6"/>
      <x:c r="F128" s="6"/>
      <x:c r="G128" s="6"/>
    </x:row>
    <x:row r="129">
      <x:c r="B129" s="6"/>
      <x:c r="C129" s="8"/>
      <x:c r="D129" s="8"/>
      <x:c r="E129" s="6"/>
      <x:c r="F129" s="6"/>
      <x:c r="G129" s="6"/>
    </x:row>
    <x:row r="130">
      <x:c r="B130" s="6"/>
      <x:c r="C130" s="8"/>
      <x:c r="D130" s="8"/>
      <x:c r="E130" s="6"/>
      <x:c r="F130" s="6"/>
      <x:c r="G130" s="6"/>
    </x:row>
    <x:row r="131">
      <x:c r="B131" s="6"/>
      <x:c r="C131" s="8"/>
      <x:c r="D131" s="8"/>
      <x:c r="E131" s="6"/>
      <x:c r="F131" s="6"/>
      <x:c r="G131" s="6"/>
    </x:row>
    <x:row r="132">
      <x:c r="B132" s="6"/>
      <x:c r="C132" s="8"/>
      <x:c r="D132" s="8"/>
      <x:c r="E132" s="6"/>
      <x:c r="F132" s="6"/>
      <x:c r="G132" s="6"/>
    </x:row>
    <x:row r="133">
      <x:c r="B133" s="6"/>
      <x:c r="C133" s="8"/>
      <x:c r="D133" s="8"/>
      <x:c r="E133" s="6"/>
      <x:c r="F133" s="6"/>
      <x:c r="G133" s="6"/>
    </x:row>
    <x:row r="134">
      <x:c r="B134" s="6"/>
      <x:c r="C134" s="8"/>
      <x:c r="D134" s="8"/>
      <x:c r="E134" s="6"/>
      <x:c r="F134" s="6"/>
      <x:c r="G134" s="6"/>
    </x:row>
    <x:row r="135">
      <x:c r="B135" s="6"/>
      <x:c r="C135" s="8"/>
      <x:c r="D135" s="8"/>
      <x:c r="E135" s="6"/>
      <x:c r="F135" s="6"/>
      <x:c r="G135" s="6"/>
    </x:row>
    <x:row r="136">
      <x:c r="B136" s="6"/>
      <x:c r="C136" s="8"/>
      <x:c r="D136" s="8"/>
      <x:c r="E136" s="6"/>
      <x:c r="F136" s="6"/>
      <x:c r="G136" s="6"/>
    </x:row>
    <x:row r="137">
      <x:c r="B137" s="6"/>
      <x:c r="C137" s="8"/>
      <x:c r="D137" s="8"/>
      <x:c r="E137" s="6"/>
      <x:c r="F137" s="6"/>
      <x:c r="G137" s="6"/>
    </x:row>
    <x:row r="138">
      <x:c r="B138" s="6"/>
      <x:c r="C138" s="8"/>
      <x:c r="D138" s="8"/>
      <x:c r="E138" s="6"/>
      <x:c r="F138" s="6"/>
      <x:c r="G138" s="6"/>
    </x:row>
    <x:row r="139">
      <x:c r="B139" s="6"/>
      <x:c r="C139" s="8"/>
      <x:c r="D139" s="8"/>
      <x:c r="E139" s="6"/>
      <x:c r="F139" s="6"/>
      <x:c r="G139" s="6"/>
    </x:row>
    <x:row r="140">
      <x:c r="B140" s="6"/>
      <x:c r="C140" s="8"/>
      <x:c r="D140" s="8"/>
      <x:c r="E140" s="6"/>
      <x:c r="F140" s="6"/>
      <x:c r="G140" s="6"/>
    </x:row>
    <x:row r="141">
      <x:c r="B141" s="6"/>
      <x:c r="C141" s="8"/>
      <x:c r="D141" s="8"/>
      <x:c r="E141" s="6"/>
      <x:c r="F141" s="6"/>
      <x:c r="G141" s="6"/>
    </x:row>
    <x:row r="142">
      <x:c r="B142" s="6"/>
      <x:c r="C142" s="8"/>
      <x:c r="D142" s="8"/>
      <x:c r="E142" s="6"/>
      <x:c r="F142" s="6"/>
      <x:c r="G142" s="6"/>
    </x:row>
    <x:row r="143">
      <x:c r="B143" s="6"/>
      <x:c r="C143" s="8"/>
      <x:c r="D143" s="8"/>
      <x:c r="E143" s="6"/>
      <x:c r="F143" s="6"/>
      <x:c r="G143" s="6"/>
    </x:row>
    <x:row r="144">
      <x:c r="B144" s="6"/>
      <x:c r="C144" s="8"/>
      <x:c r="D144" s="8"/>
      <x:c r="E144" s="6"/>
      <x:c r="F144" s="6"/>
      <x:c r="G144" s="6"/>
    </x:row>
    <x:row r="145">
      <x:c r="B145" s="6"/>
      <x:c r="C145" s="8"/>
      <x:c r="D145" s="8"/>
      <x:c r="E145" s="6"/>
      <x:c r="F145" s="6"/>
      <x:c r="G145" s="6"/>
    </x:row>
    <x:row r="146">
      <x:c r="B146" s="6"/>
      <x:c r="C146" s="8"/>
      <x:c r="D146" s="8"/>
      <x:c r="E146" s="6"/>
      <x:c r="F146" s="6"/>
      <x:c r="G146" s="6"/>
    </x:row>
    <x:row r="147">
      <x:c r="B147" s="6"/>
      <x:c r="C147" s="8"/>
      <x:c r="D147" s="8"/>
      <x:c r="E147" s="6"/>
      <x:c r="F147" s="6"/>
      <x:c r="G147" s="6"/>
    </x:row>
    <x:row r="148">
      <x:c r="B148" s="6"/>
      <x:c r="C148" s="8"/>
      <x:c r="D148" s="8"/>
      <x:c r="E148" s="6"/>
      <x:c r="F148" s="6"/>
      <x:c r="G148" s="6"/>
    </x:row>
    <x:row r="149">
      <x:c r="B149" s="6"/>
      <x:c r="C149" s="8"/>
      <x:c r="D149" s="8"/>
      <x:c r="E149" s="6"/>
      <x:c r="F149" s="6"/>
      <x:c r="G149" s="6"/>
    </x:row>
    <x:row r="150">
      <x:c r="B150" s="6"/>
      <x:c r="C150" s="8"/>
      <x:c r="D150" s="8"/>
      <x:c r="E150" s="6"/>
      <x:c r="F150" s="6"/>
      <x:c r="G150" s="6"/>
    </x:row>
    <x:row r="151">
      <x:c r="B151" s="6"/>
      <x:c r="C151" s="8"/>
      <x:c r="D151" s="8"/>
      <x:c r="E151" s="6"/>
      <x:c r="F151" s="6"/>
      <x:c r="G151" s="6"/>
    </x:row>
    <x:row r="152">
      <x:c r="B152" s="6"/>
      <x:c r="C152" s="8"/>
      <x:c r="D152" s="8"/>
      <x:c r="E152" s="6"/>
      <x:c r="F152" s="6"/>
      <x:c r="G152" s="6"/>
    </x:row>
    <x:row r="153">
      <x:c r="B153" s="6"/>
      <x:c r="C153" s="8"/>
      <x:c r="D153" s="8"/>
      <x:c r="E153" s="6"/>
      <x:c r="F153" s="6"/>
      <x:c r="G153" s="6"/>
    </x:row>
    <x:row r="154">
      <x:c r="B154" s="6"/>
      <x:c r="C154" s="8"/>
      <x:c r="D154" s="8"/>
      <x:c r="E154" s="6"/>
      <x:c r="F154" s="6"/>
      <x:c r="G154" s="6"/>
    </x:row>
    <x:row r="155">
      <x:c r="B155" s="6"/>
      <x:c r="C155" s="8"/>
      <x:c r="D155" s="8"/>
      <x:c r="E155" s="6"/>
      <x:c r="F155" s="6"/>
      <x:c r="G155" s="6"/>
    </x:row>
    <x:row r="156">
      <x:c r="B156" s="6"/>
      <x:c r="C156" s="8"/>
      <x:c r="D156" s="8"/>
      <x:c r="E156" s="6"/>
      <x:c r="F156" s="6"/>
      <x:c r="G156" s="6"/>
    </x:row>
    <x:row r="157">
      <x:c r="B157" s="6"/>
      <x:c r="C157" s="8"/>
      <x:c r="D157" s="8"/>
      <x:c r="E157" s="6"/>
      <x:c r="F157" s="6"/>
      <x:c r="G157" s="6"/>
    </x:row>
    <x:row r="158">
      <x:c r="B158" s="6"/>
      <x:c r="C158" s="8"/>
      <x:c r="D158" s="8"/>
      <x:c r="E158" s="6"/>
      <x:c r="F158" s="6"/>
      <x:c r="G158" s="6"/>
    </x:row>
    <x:row r="159">
      <x:c r="B159" s="6"/>
      <x:c r="C159" s="8"/>
      <x:c r="D159" s="8"/>
      <x:c r="E159" s="6"/>
      <x:c r="F159" s="6"/>
      <x:c r="G159" s="6"/>
    </x:row>
    <x:row r="160">
      <x:c r="B160" s="6"/>
      <x:c r="C160" s="8"/>
      <x:c r="D160" s="8"/>
      <x:c r="E160" s="6"/>
      <x:c r="F160" s="6"/>
      <x:c r="G160" s="6"/>
    </x:row>
    <x:row r="161">
      <x:c r="B161" s="6"/>
      <x:c r="C161" s="8"/>
      <x:c r="D161" s="8"/>
      <x:c r="E161" s="6"/>
      <x:c r="F161" s="6"/>
      <x:c r="G161" s="6"/>
    </x:row>
    <x:row r="162">
      <x:c r="B162" s="6"/>
      <x:c r="C162" s="8"/>
      <x:c r="D162" s="8"/>
      <x:c r="E162" s="6"/>
      <x:c r="F162" s="6"/>
      <x:c r="G162" s="6"/>
    </x:row>
    <x:row r="163">
      <x:c r="B163" s="6"/>
      <x:c r="C163" s="8"/>
      <x:c r="D163" s="8"/>
      <x:c r="E163" s="6"/>
      <x:c r="F163" s="6"/>
      <x:c r="G163" s="6"/>
    </x:row>
    <x:row r="164">
      <x:c r="B164" s="6"/>
      <x:c r="C164" s="8"/>
      <x:c r="D164" s="8"/>
      <x:c r="E164" s="6"/>
      <x:c r="F164" s="6"/>
      <x:c r="G164" s="6"/>
    </x:row>
    <x:row r="165">
      <x:c r="B165" s="6"/>
      <x:c r="C165" s="8"/>
      <x:c r="D165" s="8"/>
      <x:c r="E165" s="6"/>
      <x:c r="F165" s="6"/>
      <x:c r="G165" s="6"/>
    </x:row>
    <x:row r="166">
      <x:c r="B166" s="6"/>
      <x:c r="C166" s="8"/>
      <x:c r="D166" s="8"/>
      <x:c r="E166" s="6"/>
      <x:c r="F166" s="6"/>
      <x:c r="G166" s="6"/>
    </x:row>
    <x:row r="167">
      <x:c r="B167" s="6"/>
      <x:c r="C167" s="8"/>
      <x:c r="D167" s="8"/>
      <x:c r="E167" s="6"/>
      <x:c r="F167" s="6"/>
      <x:c r="G167" s="6"/>
    </x:row>
    <x:row r="168">
      <x:c r="B168" s="6"/>
      <x:c r="C168" s="8"/>
      <x:c r="D168" s="8"/>
      <x:c r="E168" s="6"/>
      <x:c r="F168" s="6"/>
      <x:c r="G168" s="6"/>
    </x:row>
    <x:row r="169">
      <x:c r="B169" s="6"/>
      <x:c r="C169" s="8"/>
      <x:c r="D169" s="8"/>
      <x:c r="E169" s="6"/>
      <x:c r="F169" s="6"/>
      <x:c r="G169" s="6"/>
    </x:row>
    <x:row r="170">
      <x:c r="B170" s="6"/>
      <x:c r="C170" s="8"/>
      <x:c r="D170" s="8"/>
      <x:c r="E170" s="6"/>
      <x:c r="F170" s="6"/>
      <x:c r="G170" s="6"/>
    </x:row>
    <x:row r="171">
      <x:c r="B171" s="6"/>
      <x:c r="C171" s="8"/>
      <x:c r="D171" s="8"/>
      <x:c r="E171" s="6"/>
      <x:c r="F171" s="6"/>
      <x:c r="G171" s="6"/>
    </x:row>
    <x:row r="172">
      <x:c r="B172" s="6"/>
      <x:c r="C172" s="8"/>
      <x:c r="D172" s="8"/>
      <x:c r="E172" s="6"/>
      <x:c r="F172" s="6"/>
      <x:c r="G172" s="6"/>
    </x:row>
    <x:row r="173">
      <x:c r="B173" s="6"/>
      <x:c r="C173" s="8"/>
      <x:c r="D173" s="8"/>
      <x:c r="E173" s="6"/>
      <x:c r="F173" s="6"/>
      <x:c r="G173" s="6"/>
    </x:row>
    <x:row r="174">
      <x:c r="B174" s="6"/>
      <x:c r="C174" s="8"/>
      <x:c r="D174" s="8"/>
      <x:c r="E174" s="6"/>
      <x:c r="F174" s="6"/>
      <x:c r="G174" s="6"/>
    </x:row>
    <x:row r="175">
      <x:c r="B175" s="6"/>
      <x:c r="C175" s="8"/>
      <x:c r="D175" s="8"/>
      <x:c r="E175" s="6"/>
      <x:c r="F175" s="6"/>
      <x:c r="G175" s="6"/>
    </x:row>
    <x:row r="176">
      <x:c r="B176" s="6"/>
      <x:c r="C176" s="8"/>
      <x:c r="D176" s="8"/>
      <x:c r="E176" s="6"/>
      <x:c r="F176" s="6"/>
      <x:c r="G176" s="6"/>
    </x:row>
    <x:row r="177">
      <x:c r="B177" s="6"/>
      <x:c r="C177" s="8"/>
      <x:c r="D177" s="8"/>
      <x:c r="E177" s="6"/>
      <x:c r="F177" s="6"/>
      <x:c r="G177" s="6"/>
    </x:row>
    <x:row r="178">
      <x:c r="B178" s="6"/>
      <x:c r="C178" s="8"/>
      <x:c r="D178" s="8"/>
      <x:c r="E178" s="6"/>
      <x:c r="F178" s="6"/>
      <x:c r="G178" s="6"/>
    </x:row>
    <x:row r="179">
      <x:c r="B179" s="6"/>
      <x:c r="C179" s="8"/>
      <x:c r="D179" s="8"/>
      <x:c r="E179" s="6"/>
      <x:c r="F179" s="6"/>
      <x:c r="G179" s="6"/>
    </x:row>
    <x:row r="180">
      <x:c r="B180" s="6"/>
      <x:c r="C180" s="8"/>
      <x:c r="D180" s="8"/>
      <x:c r="E180" s="6"/>
      <x:c r="F180" s="6"/>
      <x:c r="G180" s="6"/>
    </x:row>
    <x:row r="181">
      <x:c r="B181" s="6"/>
      <x:c r="C181" s="8"/>
      <x:c r="D181" s="8"/>
      <x:c r="E181" s="6"/>
      <x:c r="F181" s="6"/>
      <x:c r="G181" s="6"/>
    </x:row>
    <x:row r="182">
      <x:c r="B182" s="6"/>
      <x:c r="C182" s="8"/>
      <x:c r="D182" s="8"/>
      <x:c r="E182" s="6"/>
      <x:c r="F182" s="6"/>
      <x:c r="G182" s="6"/>
    </x:row>
    <x:row r="183">
      <x:c r="B183" s="6"/>
      <x:c r="C183" s="8"/>
      <x:c r="D183" s="8"/>
      <x:c r="E183" s="6"/>
      <x:c r="F183" s="6"/>
      <x:c r="G183" s="6"/>
    </x:row>
    <x:row r="184">
      <x:c r="B184" s="6"/>
      <x:c r="C184" s="8"/>
      <x:c r="D184" s="8"/>
      <x:c r="E184" s="6"/>
      <x:c r="F184" s="6"/>
      <x:c r="G184" s="6"/>
    </x:row>
    <x:row r="185">
      <x:c r="B185" s="6"/>
      <x:c r="C185" s="8"/>
      <x:c r="D185" s="8"/>
      <x:c r="E185" s="6"/>
      <x:c r="F185" s="6"/>
      <x:c r="G185" s="6"/>
    </x:row>
    <x:row r="186">
      <x:c r="B186" s="6"/>
      <x:c r="C186" s="8"/>
      <x:c r="D186" s="8"/>
      <x:c r="E186" s="6"/>
      <x:c r="F186" s="6"/>
      <x:c r="G186" s="6"/>
    </x:row>
    <x:row r="187">
      <x:c r="B187" s="6"/>
      <x:c r="C187" s="8"/>
      <x:c r="D187" s="8"/>
      <x:c r="E187" s="6"/>
      <x:c r="F187" s="6"/>
      <x:c r="G187" s="6"/>
    </x:row>
    <x:row r="188">
      <x:c r="B188" s="6"/>
      <x:c r="C188" s="8"/>
      <x:c r="D188" s="8"/>
      <x:c r="E188" s="6"/>
      <x:c r="F188" s="6"/>
      <x:c r="G188" s="6"/>
    </x:row>
    <x:row r="189">
      <x:c r="B189" s="6"/>
      <x:c r="C189" s="8"/>
      <x:c r="D189" s="8"/>
      <x:c r="E189" s="6"/>
      <x:c r="F189" s="6"/>
      <x:c r="G189" s="6"/>
    </x:row>
    <x:row r="190">
      <x:c r="B190" s="6"/>
      <x:c r="C190" s="8"/>
      <x:c r="D190" s="8"/>
      <x:c r="E190" s="6"/>
      <x:c r="F190" s="6"/>
      <x:c r="G190" s="6"/>
    </x:row>
    <x:row r="191">
      <x:c r="B191" s="6"/>
      <x:c r="C191" s="8"/>
      <x:c r="D191" s="8"/>
      <x:c r="E191" s="6"/>
      <x:c r="F191" s="6"/>
      <x:c r="G191" s="6"/>
    </x:row>
    <x:row r="192">
      <x:c r="B192" s="6"/>
      <x:c r="C192" s="8"/>
      <x:c r="D192" s="8"/>
      <x:c r="E192" s="6"/>
      <x:c r="F192" s="6"/>
      <x:c r="G192" s="6"/>
    </x:row>
    <x:row r="193">
      <x:c r="B193" s="6"/>
      <x:c r="C193" s="8"/>
      <x:c r="D193" s="8"/>
      <x:c r="E193" s="6"/>
      <x:c r="F193" s="6"/>
      <x:c r="G193" s="6"/>
    </x:row>
    <x:row r="194">
      <x:c r="B194" s="6"/>
      <x:c r="C194" s="8"/>
      <x:c r="D194" s="8"/>
      <x:c r="E194" s="6"/>
      <x:c r="F194" s="6"/>
      <x:c r="G194" s="6"/>
    </x:row>
    <x:row r="195">
      <x:c r="B195" s="6"/>
      <x:c r="C195" s="8"/>
      <x:c r="D195" s="8"/>
      <x:c r="E195" s="6"/>
      <x:c r="F195" s="6"/>
      <x:c r="G195" s="6"/>
    </x:row>
    <x:row r="196">
      <x:c r="B196" s="6"/>
      <x:c r="C196" s="8"/>
      <x:c r="D196" s="8"/>
      <x:c r="E196" s="6"/>
      <x:c r="F196" s="6"/>
      <x:c r="G196" s="6"/>
    </x:row>
    <x:row r="197">
      <x:c r="B197" s="6"/>
      <x:c r="C197" s="8"/>
      <x:c r="D197" s="8"/>
      <x:c r="E197" s="6"/>
      <x:c r="F197" s="6"/>
      <x:c r="G197" s="6"/>
    </x:row>
    <x:row r="198">
      <x:c r="B198" s="6"/>
      <x:c r="C198" s="8"/>
      <x:c r="D198" s="8"/>
      <x:c r="E198" s="6"/>
      <x:c r="F198" s="6"/>
      <x:c r="G198" s="6"/>
    </x:row>
    <x:row r="199">
      <x:c r="B199" s="6"/>
      <x:c r="C199" s="8"/>
      <x:c r="D199" s="8"/>
      <x:c r="E199" s="6"/>
      <x:c r="F199" s="6"/>
      <x:c r="G199" s="6"/>
    </x:row>
    <x:row r="200">
      <x:c r="B200" s="6"/>
      <x:c r="C200" s="8"/>
      <x:c r="D200" s="8"/>
      <x:c r="E200" s="6"/>
      <x:c r="F200" s="6"/>
      <x:c r="G200" s="6"/>
    </x:row>
    <x:row r="201">
      <x:c r="B201" s="6"/>
      <x:c r="C201" s="8"/>
      <x:c r="D201" s="8"/>
      <x:c r="E201" s="6"/>
      <x:c r="F201" s="6"/>
      <x:c r="G201" s="6"/>
    </x:row>
    <x:row r="202">
      <x:c r="B202" s="6"/>
      <x:c r="C202" s="8"/>
      <x:c r="D202" s="8"/>
      <x:c r="E202" s="6"/>
      <x:c r="F202" s="6"/>
      <x:c r="G202" s="6"/>
    </x:row>
    <x:row r="203">
      <x:c r="B203" s="6"/>
      <x:c r="C203" s="8"/>
      <x:c r="D203" s="8"/>
      <x:c r="E203" s="6"/>
      <x:c r="F203" s="6"/>
      <x:c r="G203" s="6"/>
    </x:row>
    <x:row r="204">
      <x:c r="B204" s="6"/>
      <x:c r="C204" s="8"/>
      <x:c r="D204" s="8"/>
      <x:c r="E204" s="6"/>
      <x:c r="F204" s="6"/>
      <x:c r="G204" s="6"/>
    </x:row>
    <x:row r="205">
      <x:c r="B205" s="6"/>
      <x:c r="C205" s="8"/>
      <x:c r="D205" s="8"/>
      <x:c r="E205" s="6"/>
      <x:c r="F205" s="6"/>
      <x:c r="G205" s="6"/>
    </x:row>
    <x:row r="206">
      <x:c r="B206" s="6"/>
      <x:c r="C206" s="8"/>
      <x:c r="D206" s="8"/>
      <x:c r="E206" s="6"/>
      <x:c r="F206" s="6"/>
      <x:c r="G206" s="6"/>
    </x:row>
    <x:row r="207">
      <x:c r="B207" s="6"/>
      <x:c r="C207" s="8"/>
      <x:c r="D207" s="8"/>
      <x:c r="E207" s="6"/>
      <x:c r="F207" s="6"/>
      <x:c r="G207" s="6"/>
    </x:row>
    <x:row r="208">
      <x:c r="B208" s="6"/>
      <x:c r="C208" s="8"/>
      <x:c r="D208" s="8"/>
      <x:c r="E208" s="6"/>
      <x:c r="F208" s="6"/>
      <x:c r="G208" s="6"/>
    </x:row>
    <x:row r="209">
      <x:c r="B209" s="6"/>
      <x:c r="C209" s="8"/>
      <x:c r="D209" s="8"/>
      <x:c r="E209" s="6"/>
      <x:c r="F209" s="6"/>
      <x:c r="G209" s="6"/>
    </x:row>
    <x:row r="210">
      <x:c r="B210" s="6"/>
      <x:c r="C210" s="8"/>
      <x:c r="D210" s="8"/>
      <x:c r="E210" s="6"/>
      <x:c r="F210" s="6"/>
      <x:c r="G210" s="6"/>
    </x:row>
    <x:row r="211">
      <x:c r="B211" s="6"/>
      <x:c r="C211" s="8"/>
      <x:c r="D211" s="8"/>
      <x:c r="E211" s="6"/>
      <x:c r="F211" s="6"/>
      <x:c r="G211" s="6"/>
    </x:row>
    <x:row r="212">
      <x:c r="B212" s="6"/>
      <x:c r="C212" s="8"/>
      <x:c r="D212" s="8"/>
      <x:c r="E212" s="6"/>
      <x:c r="F212" s="6"/>
      <x:c r="G212" s="6"/>
    </x:row>
    <x:row r="213">
      <x:c r="B213" s="6"/>
      <x:c r="C213" s="8"/>
      <x:c r="D213" s="8"/>
      <x:c r="E213" s="6"/>
      <x:c r="F213" s="6"/>
      <x:c r="G213" s="6"/>
    </x:row>
    <x:row r="214">
      <x:c r="B214" s="6"/>
      <x:c r="C214" s="8"/>
      <x:c r="D214" s="8"/>
      <x:c r="E214" s="6"/>
      <x:c r="F214" s="6"/>
      <x:c r="G214" s="6"/>
    </x:row>
    <x:row r="215">
      <x:c r="B215" s="6"/>
      <x:c r="C215" s="8"/>
      <x:c r="D215" s="8"/>
      <x:c r="E215" s="6"/>
      <x:c r="F215" s="6"/>
      <x:c r="G215" s="6"/>
    </x:row>
    <x:row r="216">
      <x:c r="B216" s="6"/>
      <x:c r="C216" s="8"/>
      <x:c r="D216" s="8"/>
      <x:c r="E216" s="6"/>
      <x:c r="F216" s="6"/>
      <x:c r="G216" s="6"/>
    </x:row>
    <x:row r="217">
      <x:c r="B217" s="6"/>
      <x:c r="C217" s="8"/>
      <x:c r="D217" s="8"/>
      <x:c r="E217" s="6"/>
      <x:c r="F217" s="6"/>
      <x:c r="G217" s="6"/>
    </x:row>
    <x:row r="218">
      <x:c r="B218" s="6"/>
      <x:c r="C218" s="8"/>
      <x:c r="D218" s="8"/>
      <x:c r="E218" s="6"/>
      <x:c r="F218" s="6"/>
      <x:c r="G218" s="6"/>
    </x:row>
    <x:row r="219">
      <x:c r="B219" s="6"/>
      <x:c r="C219" s="8"/>
      <x:c r="D219" s="8"/>
      <x:c r="E219" s="6"/>
      <x:c r="F219" s="6"/>
      <x:c r="G219" s="6"/>
    </x:row>
    <x:row r="220">
      <x:c r="B220" s="6"/>
      <x:c r="C220" s="8"/>
      <x:c r="D220" s="8"/>
      <x:c r="E220" s="6"/>
      <x:c r="F220" s="6"/>
      <x:c r="G220" s="6"/>
    </x:row>
    <x:row r="221">
      <x:c r="B221" s="6"/>
      <x:c r="C221" s="8"/>
      <x:c r="D221" s="8"/>
      <x:c r="E221" s="6"/>
      <x:c r="F221" s="6"/>
      <x:c r="G221" s="6"/>
    </x:row>
    <x:row r="222">
      <x:c r="B222" s="6"/>
      <x:c r="C222" s="8"/>
      <x:c r="D222" s="8"/>
      <x:c r="E222" s="6"/>
      <x:c r="F222" s="6"/>
      <x:c r="G222" s="6"/>
    </x:row>
    <x:row r="223">
      <x:c r="B223" s="6"/>
      <x:c r="C223" s="8"/>
      <x:c r="D223" s="8"/>
      <x:c r="E223" s="6"/>
      <x:c r="F223" s="6"/>
      <x:c r="G223" s="6"/>
    </x:row>
    <x:row r="224">
      <x:c r="B224" s="6"/>
      <x:c r="C224" s="8"/>
      <x:c r="D224" s="8"/>
      <x:c r="E224" s="6"/>
      <x:c r="F224" s="6"/>
      <x:c r="G224" s="6"/>
    </x:row>
    <x:row r="225">
      <x:c r="B225" s="6"/>
      <x:c r="C225" s="8"/>
      <x:c r="D225" s="8"/>
      <x:c r="E225" s="6"/>
      <x:c r="F225" s="6"/>
      <x:c r="G225" s="6"/>
    </x:row>
    <x:row r="226">
      <x:c r="B226" s="6"/>
      <x:c r="C226" s="8"/>
      <x:c r="D226" s="8"/>
      <x:c r="E226" s="6"/>
      <x:c r="F226" s="6"/>
      <x:c r="G226" s="6"/>
    </x:row>
    <x:row r="227">
      <x:c r="B227" s="6"/>
      <x:c r="C227" s="8"/>
      <x:c r="D227" s="8"/>
      <x:c r="E227" s="6"/>
      <x:c r="F227" s="6"/>
      <x:c r="G227" s="6"/>
    </x:row>
    <x:row r="228">
      <x:c r="B228" s="6"/>
      <x:c r="C228" s="8"/>
      <x:c r="D228" s="8"/>
      <x:c r="E228" s="6"/>
      <x:c r="F228" s="6"/>
      <x:c r="G228" s="6"/>
    </x:row>
    <x:row r="229">
      <x:c r="B229" s="6"/>
      <x:c r="C229" s="8"/>
      <x:c r="D229" s="8"/>
      <x:c r="E229" s="6"/>
      <x:c r="F229" s="6"/>
      <x:c r="G229" s="6"/>
    </x:row>
    <x:row r="230">
      <x:c r="B230" s="6"/>
      <x:c r="C230" s="8"/>
      <x:c r="D230" s="8"/>
      <x:c r="E230" s="6"/>
      <x:c r="F230" s="6"/>
      <x:c r="G230" s="6"/>
    </x:row>
    <x:row r="231">
      <x:c r="B231" s="6"/>
      <x:c r="C231" s="8"/>
      <x:c r="D231" s="8"/>
      <x:c r="E231" s="6"/>
      <x:c r="F231" s="6"/>
      <x:c r="G231" s="6"/>
    </x:row>
    <x:row r="232">
      <x:c r="B232" s="6"/>
      <x:c r="C232" s="8"/>
      <x:c r="D232" s="8"/>
      <x:c r="E232" s="6"/>
      <x:c r="F232" s="6"/>
      <x:c r="G232" s="6"/>
    </x:row>
    <x:row r="233">
      <x:c r="B233" s="6"/>
      <x:c r="C233" s="8"/>
      <x:c r="D233" s="8"/>
      <x:c r="E233" s="6"/>
      <x:c r="F233" s="6"/>
      <x:c r="G233" s="6"/>
    </x:row>
    <x:row r="234">
      <x:c r="B234" s="6"/>
      <x:c r="C234" s="8"/>
      <x:c r="D234" s="8"/>
      <x:c r="E234" s="6"/>
      <x:c r="F234" s="6"/>
      <x:c r="G234" s="6"/>
    </x:row>
    <x:row r="235">
      <x:c r="B235" s="6"/>
      <x:c r="C235" s="8"/>
      <x:c r="D235" s="8"/>
      <x:c r="E235" s="6"/>
      <x:c r="F235" s="6"/>
      <x:c r="G235" s="6"/>
    </x:row>
    <x:row r="236">
      <x:c r="B236" s="6"/>
      <x:c r="C236" s="8"/>
      <x:c r="D236" s="8"/>
      <x:c r="E236" s="6"/>
      <x:c r="F236" s="6"/>
      <x:c r="G236" s="6"/>
    </x:row>
    <x:row r="237">
      <x:c r="B237" s="6"/>
      <x:c r="C237" s="8"/>
      <x:c r="D237" s="8"/>
      <x:c r="E237" s="6"/>
      <x:c r="F237" s="6"/>
      <x:c r="G237" s="6"/>
    </x:row>
    <x:row r="238">
      <x:c r="B238" s="6"/>
      <x:c r="C238" s="8"/>
      <x:c r="D238" s="8"/>
      <x:c r="E238" s="6"/>
      <x:c r="F238" s="6"/>
      <x:c r="G238" s="6"/>
    </x:row>
    <x:row r="239">
      <x:c r="B239" s="6"/>
      <x:c r="C239" s="8"/>
      <x:c r="D239" s="8"/>
      <x:c r="E239" s="6"/>
      <x:c r="F239" s="6"/>
      <x:c r="G239" s="6"/>
    </x:row>
    <x:row r="240">
      <x:c r="B240" s="6"/>
      <x:c r="C240" s="8"/>
      <x:c r="D240" s="8"/>
      <x:c r="E240" s="6"/>
      <x:c r="F240" s="6"/>
      <x:c r="G240" s="6"/>
    </x:row>
    <x:row r="241">
      <x:c r="B241" s="6"/>
      <x:c r="C241" s="8"/>
      <x:c r="D241" s="8"/>
      <x:c r="E241" s="6"/>
      <x:c r="F241" s="6"/>
      <x:c r="G241" s="6"/>
    </x:row>
    <x:row r="242">
      <x:c r="B242" s="6"/>
      <x:c r="C242" s="8"/>
      <x:c r="D242" s="8"/>
      <x:c r="E242" s="6"/>
      <x:c r="F242" s="6"/>
      <x:c r="G242" s="6"/>
    </x:row>
    <x:row r="243">
      <x:c r="B243" s="6"/>
      <x:c r="C243" s="8"/>
      <x:c r="D243" s="8"/>
      <x:c r="E243" s="6"/>
      <x:c r="F243" s="6"/>
      <x:c r="G243" s="6"/>
    </x:row>
    <x:row r="244">
      <x:c r="B244" s="6"/>
      <x:c r="C244" s="8"/>
      <x:c r="D244" s="8"/>
      <x:c r="E244" s="6"/>
      <x:c r="F244" s="6"/>
      <x:c r="G244" s="6"/>
    </x:row>
    <x:row r="245">
      <x:c r="B245" s="6"/>
      <x:c r="C245" s="8"/>
      <x:c r="D245" s="8"/>
      <x:c r="E245" s="6"/>
      <x:c r="F245" s="6"/>
      <x:c r="G245" s="6"/>
    </x:row>
    <x:row r="246">
      <x:c r="B246" s="6"/>
      <x:c r="C246" s="8"/>
      <x:c r="D246" s="8"/>
      <x:c r="E246" s="6"/>
      <x:c r="F246" s="6"/>
      <x:c r="G246" s="6"/>
    </x:row>
    <x:row r="247">
      <x:c r="B247" s="6"/>
      <x:c r="C247" s="8"/>
      <x:c r="D247" s="8"/>
      <x:c r="E247" s="6"/>
      <x:c r="F247" s="6"/>
      <x:c r="G247" s="6"/>
    </x:row>
    <x:row r="248">
      <x:c r="B248" s="6"/>
      <x:c r="C248" s="8"/>
      <x:c r="D248" s="8"/>
      <x:c r="E248" s="6"/>
      <x:c r="F248" s="6"/>
      <x:c r="G248" s="6"/>
    </x:row>
    <x:row r="249">
      <x:c r="B249" s="6"/>
      <x:c r="C249" s="8"/>
      <x:c r="D249" s="8"/>
      <x:c r="E249" s="6"/>
      <x:c r="F249" s="6"/>
      <x:c r="G249" s="6"/>
    </x:row>
    <x:row r="250">
      <x:c r="B250" s="6"/>
      <x:c r="C250" s="8"/>
      <x:c r="D250" s="8"/>
      <x:c r="E250" s="6"/>
      <x:c r="F250" s="6"/>
      <x:c r="G250" s="6"/>
    </x:row>
    <x:row r="251">
      <x:c r="B251" s="6"/>
      <x:c r="C251" s="8"/>
      <x:c r="D251" s="8"/>
      <x:c r="E251" s="6"/>
      <x:c r="F251" s="6"/>
      <x:c r="G251" s="6"/>
    </x:row>
    <x:row r="252">
      <x:c r="B252" s="6"/>
      <x:c r="C252" s="8"/>
      <x:c r="D252" s="8"/>
      <x:c r="E252" s="6"/>
      <x:c r="F252" s="6"/>
      <x:c r="G252" s="6"/>
    </x:row>
    <x:row r="253">
      <x:c r="B253" s="6"/>
      <x:c r="C253" s="8"/>
      <x:c r="D253" s="8"/>
      <x:c r="E253" s="6"/>
      <x:c r="F253" s="6"/>
      <x:c r="G253" s="6"/>
    </x:row>
    <x:row r="254">
      <x:c r="B254" s="6"/>
      <x:c r="C254" s="8"/>
      <x:c r="D254" s="8"/>
      <x:c r="E254" s="6"/>
      <x:c r="F254" s="6"/>
      <x:c r="G254" s="6"/>
    </x:row>
    <x:row r="255">
      <x:c r="B255" s="6"/>
      <x:c r="C255" s="8"/>
      <x:c r="D255" s="8"/>
      <x:c r="E255" s="6"/>
      <x:c r="F255" s="6"/>
      <x:c r="G255" s="6"/>
    </x:row>
    <x:row r="256">
      <x:c r="B256" s="6"/>
      <x:c r="C256" s="8"/>
      <x:c r="D256" s="8"/>
      <x:c r="E256" s="6"/>
      <x:c r="F256" s="6"/>
      <x:c r="G256" s="6"/>
    </x:row>
    <x:row r="257">
      <x:c r="B257" s="6"/>
      <x:c r="C257" s="8"/>
      <x:c r="D257" s="8"/>
      <x:c r="E257" s="6"/>
      <x:c r="F257" s="6"/>
      <x:c r="G257" s="6"/>
    </x:row>
    <x:row r="258">
      <x:c r="B258" s="6"/>
      <x:c r="C258" s="8"/>
      <x:c r="D258" s="8"/>
      <x:c r="E258" s="6"/>
      <x:c r="F258" s="6"/>
      <x:c r="G258" s="6"/>
    </x:row>
    <x:row r="259">
      <x:c r="B259" s="6"/>
      <x:c r="C259" s="8"/>
      <x:c r="D259" s="8"/>
      <x:c r="E259" s="6"/>
      <x:c r="F259" s="6"/>
      <x:c r="G259" s="6"/>
    </x:row>
    <x:row r="260">
      <x:c r="B260" s="6"/>
      <x:c r="C260" s="8"/>
      <x:c r="D260" s="8"/>
      <x:c r="E260" s="6"/>
      <x:c r="F260" s="6"/>
      <x:c r="G260" s="6"/>
    </x:row>
    <x:row r="261">
      <x:c r="B261" s="6"/>
      <x:c r="C261" s="8"/>
      <x:c r="D261" s="8"/>
      <x:c r="E261" s="6"/>
      <x:c r="F261" s="6"/>
      <x:c r="G261" s="6"/>
    </x:row>
    <x:row r="262">
      <x:c r="B262" s="6"/>
      <x:c r="C262" s="8"/>
      <x:c r="D262" s="8"/>
      <x:c r="E262" s="6"/>
      <x:c r="F262" s="6"/>
      <x:c r="G262" s="6"/>
    </x:row>
    <x:row r="263">
      <x:c r="B263" s="6"/>
      <x:c r="C263" s="8"/>
      <x:c r="D263" s="8"/>
      <x:c r="E263" s="6"/>
      <x:c r="F263" s="6"/>
      <x:c r="G263" s="6"/>
    </x:row>
    <x:row r="264">
      <x:c r="B264" s="6"/>
      <x:c r="C264" s="8"/>
      <x:c r="D264" s="8"/>
      <x:c r="E264" s="6"/>
      <x:c r="F264" s="6"/>
      <x:c r="G264" s="6"/>
    </x:row>
    <x:row r="265">
      <x:c r="B265" s="6"/>
      <x:c r="C265" s="8"/>
      <x:c r="D265" s="8"/>
      <x:c r="E265" s="6"/>
      <x:c r="F265" s="6"/>
      <x:c r="G265" s="6"/>
    </x:row>
    <x:row r="266">
      <x:c r="B266" s="6"/>
      <x:c r="C266" s="8"/>
      <x:c r="D266" s="8"/>
      <x:c r="E266" s="6"/>
      <x:c r="F266" s="6"/>
      <x:c r="G266" s="6"/>
    </x:row>
    <x:row r="267">
      <x:c r="B267" s="6"/>
      <x:c r="C267" s="8"/>
      <x:c r="D267" s="8"/>
      <x:c r="E267" s="6"/>
      <x:c r="F267" s="6"/>
      <x:c r="G267" s="6"/>
    </x:row>
    <x:row r="268">
      <x:c r="B268" s="6"/>
      <x:c r="C268" s="8"/>
      <x:c r="D268" s="8"/>
      <x:c r="E268" s="6"/>
      <x:c r="F268" s="6"/>
      <x:c r="G268" s="6"/>
    </x:row>
    <x:row r="269">
      <x:c r="B269" s="6"/>
      <x:c r="C269" s="8"/>
      <x:c r="D269" s="8"/>
      <x:c r="E269" s="6"/>
      <x:c r="F269" s="6"/>
      <x:c r="G269" s="6"/>
    </x:row>
    <x:row r="270">
      <x:c r="B270" s="6"/>
      <x:c r="C270" s="8"/>
      <x:c r="D270" s="8"/>
      <x:c r="E270" s="6"/>
      <x:c r="F270" s="6"/>
      <x:c r="G270" s="6"/>
    </x:row>
    <x:row r="271">
      <x:c r="B271" s="6"/>
      <x:c r="C271" s="8"/>
      <x:c r="D271" s="8"/>
      <x:c r="E271" s="6"/>
      <x:c r="F271" s="6"/>
      <x:c r="G271" s="6"/>
    </x:row>
    <x:row r="272">
      <x:c r="B272" s="6"/>
      <x:c r="C272" s="8"/>
      <x:c r="D272" s="8"/>
      <x:c r="E272" s="6"/>
      <x:c r="F272" s="6"/>
      <x:c r="G272" s="6"/>
    </x:row>
    <x:row r="273">
      <x:c r="B273" s="6"/>
      <x:c r="C273" s="8"/>
      <x:c r="D273" s="8"/>
      <x:c r="E273" s="6"/>
      <x:c r="F273" s="6"/>
      <x:c r="G273" s="6"/>
    </x:row>
    <x:row r="274">
      <x:c r="B274" s="6"/>
      <x:c r="C274" s="8"/>
      <x:c r="D274" s="8"/>
      <x:c r="E274" s="6"/>
      <x:c r="F274" s="6"/>
      <x:c r="G274" s="6"/>
    </x:row>
    <x:row r="275">
      <x:c r="B275" s="6"/>
      <x:c r="C275" s="8"/>
      <x:c r="D275" s="8"/>
      <x:c r="E275" s="6"/>
      <x:c r="F275" s="6"/>
      <x:c r="G275" s="6"/>
    </x:row>
    <x:row r="276">
      <x:c r="B276" s="6"/>
      <x:c r="C276" s="8"/>
      <x:c r="D276" s="8"/>
      <x:c r="E276" s="6"/>
      <x:c r="F276" s="6"/>
      <x:c r="G276" s="6"/>
    </x:row>
    <x:row r="277">
      <x:c r="B277" s="6"/>
      <x:c r="C277" s="8"/>
      <x:c r="D277" s="8"/>
      <x:c r="E277" s="6"/>
      <x:c r="F277" s="6"/>
      <x:c r="G277" s="6"/>
    </x:row>
    <x:row r="278">
      <x:c r="B278" s="6"/>
      <x:c r="C278" s="8"/>
      <x:c r="D278" s="8"/>
      <x:c r="E278" s="6"/>
      <x:c r="F278" s="6"/>
      <x:c r="G278" s="6"/>
    </x:row>
    <x:row r="279">
      <x:c r="B279" s="6"/>
      <x:c r="C279" s="8"/>
      <x:c r="D279" s="8"/>
      <x:c r="E279" s="6"/>
      <x:c r="F279" s="6"/>
      <x:c r="G279" s="6"/>
    </x:row>
    <x:row r="280">
      <x:c r="B280" s="6"/>
      <x:c r="C280" s="8"/>
      <x:c r="D280" s="8"/>
      <x:c r="E280" s="6"/>
      <x:c r="F280" s="6"/>
      <x:c r="G280" s="6"/>
    </x:row>
    <x:row r="281">
      <x:c r="B281" s="6"/>
      <x:c r="C281" s="8"/>
      <x:c r="D281" s="8"/>
      <x:c r="E281" s="6"/>
      <x:c r="F281" s="6"/>
      <x:c r="G281" s="6"/>
    </x:row>
    <x:row r="282">
      <x:c r="B282" s="6"/>
      <x:c r="C282" s="8"/>
      <x:c r="D282" s="8"/>
      <x:c r="E282" s="6"/>
      <x:c r="F282" s="6"/>
      <x:c r="G282" s="6"/>
    </x:row>
    <x:row r="283">
      <x:c r="B283" s="6"/>
      <x:c r="C283" s="8"/>
      <x:c r="D283" s="8"/>
      <x:c r="E283" s="6"/>
      <x:c r="F283" s="6"/>
      <x:c r="G283" s="6"/>
    </x:row>
    <x:row r="284">
      <x:c r="B284" s="6"/>
      <x:c r="C284" s="8"/>
      <x:c r="D284" s="8"/>
      <x:c r="E284" s="6"/>
      <x:c r="F284" s="6"/>
      <x:c r="G284" s="6"/>
    </x:row>
    <x:row r="285">
      <x:c r="B285" s="6"/>
      <x:c r="C285" s="8"/>
      <x:c r="D285" s="8"/>
      <x:c r="E285" s="6"/>
      <x:c r="F285" s="6"/>
      <x:c r="G285" s="6"/>
    </x:row>
    <x:row r="286">
      <x:c r="B286" s="6"/>
      <x:c r="C286" s="8"/>
      <x:c r="D286" s="8"/>
      <x:c r="E286" s="6"/>
      <x:c r="F286" s="6"/>
      <x:c r="G286" s="6"/>
    </x:row>
    <x:row r="287">
      <x:c r="B287" s="6"/>
      <x:c r="C287" s="8"/>
      <x:c r="D287" s="8"/>
      <x:c r="E287" s="6"/>
      <x:c r="F287" s="6"/>
      <x:c r="G287" s="6"/>
    </x:row>
    <x:row r="288">
      <x:c r="B288" s="6"/>
      <x:c r="C288" s="8"/>
      <x:c r="D288" s="8"/>
      <x:c r="E288" s="6"/>
      <x:c r="F288" s="6"/>
      <x:c r="G288" s="6"/>
    </x:row>
    <x:row r="289">
      <x:c r="B289" s="6"/>
      <x:c r="C289" s="8"/>
      <x:c r="D289" s="8"/>
      <x:c r="E289" s="6"/>
      <x:c r="F289" s="6"/>
      <x:c r="G289" s="6"/>
    </x:row>
    <x:row r="290">
      <x:c r="B290" s="6"/>
      <x:c r="C290" s="8"/>
      <x:c r="D290" s="8"/>
      <x:c r="E290" s="6"/>
      <x:c r="F290" s="6"/>
      <x:c r="G290" s="6"/>
    </x:row>
    <x:row r="291">
      <x:c r="B291" s="6"/>
      <x:c r="C291" s="8"/>
      <x:c r="D291" s="8"/>
      <x:c r="E291" s="6"/>
      <x:c r="F291" s="6"/>
      <x:c r="G291" s="6"/>
    </x:row>
    <x:row r="292">
      <x:c r="B292" s="6"/>
      <x:c r="C292" s="8"/>
      <x:c r="D292" s="8"/>
      <x:c r="E292" s="6"/>
      <x:c r="F292" s="6"/>
      <x:c r="G292" s="6"/>
    </x:row>
    <x:row r="293">
      <x:c r="B293" s="6"/>
      <x:c r="C293" s="8"/>
      <x:c r="D293" s="8"/>
      <x:c r="E293" s="6"/>
      <x:c r="F293" s="6"/>
      <x:c r="G293" s="6"/>
    </x:row>
    <x:row r="294">
      <x:c r="B294" s="6"/>
      <x:c r="C294" s="8"/>
      <x:c r="D294" s="8"/>
      <x:c r="E294" s="6"/>
      <x:c r="F294" s="6"/>
      <x:c r="G294" s="6"/>
    </x:row>
    <x:row r="295">
      <x:c r="B295" s="6"/>
      <x:c r="C295" s="8"/>
      <x:c r="D295" s="8"/>
      <x:c r="E295" s="6"/>
      <x:c r="F295" s="6"/>
      <x:c r="G295" s="6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c1a3569ba584b31"/>
  </x:tableParts>
</x:worksheet>
</file>

<file path=xl/worksheets/sheet5.xml><?xml version="1.0" encoding="utf-8"?>
<x:worksheet xmlns:x="http://schemas.openxmlformats.org/spreadsheetml/2006/main">
  <x:sheetFormatPr baseColWidth="10" defaultRowHeight="14.25"/>
  <x:cols>
    <x:col min="1" max="1" width="36.5" customWidth="1"/>
    <x:col min="2" max="5" width="23.625" customWidth="1"/>
    <x:col min="6" max="6" width="26.375" customWidth="1"/>
    <x:col min="7" max="7" width="23.5" customWidth="1"/>
    <x:col min="8" max="8" width="20.375" customWidth="1"/>
    <x:col min="9" max="9" width="28.25" customWidth="1"/>
  </x:cols>
  <x:sheetData>
    <x:row r="1" ht="18">
      <x:c r="A1" s="13" t="s">
        <x:v>57</x:v>
      </x:c>
      <x:c r="B1" s="13"/>
      <x:c r="C1" s="15"/>
      <x:c r="D1" s="15"/>
      <x:c r="E1" s="15"/>
      <x:c r="F1" s="13"/>
      <x:c r="G1" s="13"/>
      <x:c r="H1" s="13"/>
      <x:c r="I1" s="13"/>
    </x:row>
    <x:row r="2">
      <x:c r="A2" s="14" t="s">
        <x:v>58</x:v>
      </x:c>
      <x:c r="B2" s="14"/>
      <x:c r="C2" s="16"/>
      <x:c r="D2" s="16"/>
      <x:c r="E2" s="16"/>
      <x:c r="F2" s="14"/>
      <x:c r="G2" s="14"/>
      <x:c r="H2" s="14"/>
      <x:c r="I2" s="14"/>
    </x:row>
    <x:row r="3" ht="15">
      <x:c r="A3" s="1" t="s">
        <x:v>59</x:v>
      </x:c>
      <x:c r="B3" s="1" t="s">
        <x:v>60</x:v>
      </x:c>
      <x:c r="C3" s="2" t="s">
        <x:v>61</x:v>
      </x:c>
      <x:c r="D3" s="2" t="s">
        <x:v>62</x:v>
      </x:c>
      <x:c r="E3" s="2" t="s">
        <x:v>63</x:v>
      </x:c>
      <x:c r="F3" s="1" t="s">
        <x:v>64</x:v>
      </x:c>
      <x:c r="G3" s="1" t="s">
        <x:v>8</x:v>
      </x:c>
      <x:c r="H3" s="1" t="s">
        <x:v>9</x:v>
      </x:c>
      <x:c r="I3" s="1" t="s">
        <x:v>11</x:v>
      </x:c>
    </x:row>
    <x:row r="4" ht="28.5">
      <x:c r="A4" s="3" t="s">
        <x:v>65</x:v>
      </x:c>
      <x:c r="B4" s="30" t="n">
        <x:v>1250</x:v>
      </x:c>
      <x:c r="C4" s="5" t="n">
        <x:v>62.34</x:v>
      </x:c>
      <x:c r="D4" s="31" t="n">
        <x:v>2400</x:v>
      </x:c>
      <x:c r="E4" s="32" t="n">
        <x:v>0.5208333333333334</x:v>
      </x:c>
      <x:c r="F4" s="32" t="n">
        <x:v>0.029975</x:v>
      </x:c>
      <x:c r="G4" s="5" t="str">
        <x:v>Hypothèse utilisateur : 1500 € TTC, TVA 20 %, soit 1250 € HT</x:v>
      </x:c>
      <x:c r="H4" s="5" t="s">
        <x:v>66</x:v>
      </x:c>
      <x:c r="I4" s="3" t="str">
        <x:v>PSE hospitalier, pas de location dans le modèle de base ; coût corrigé en HT</x:v>
      </x:c>
    </x:row>
    <x:row r="5">
      <x:c r="A5" s="3" t="s">
        <x:v>67</x:v>
      </x:c>
      <x:c r="B5" s="30" t="n">
        <x:v>2160</x:v>
      </x:c>
      <x:c r="C5" s="5" t="n">
        <x:v>79.683</x:v>
      </x:c>
      <x:c r="D5" s="31" t="n">
        <x:v>2240</x:v>
      </x:c>
      <x:c r="E5" s="32" t="n">
        <x:v>0.9642857142857143</x:v>
      </x:c>
      <x:c r="F5" s="32" t="n">
        <x:v>0.09557276785714286</x:v>
      </x:c>
      <x:c r="G5" s="5" t="s">
        <x:v>66</x:v>
      </x:c>
      <x:c r="H5" s="5" t="s">
        <x:v>66</x:v>
      </x:c>
      <x:c r="I5" s="3" t="s">
        <x:v>68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634c37e34ea4aa0"/>
  </x:tableParts>
</x:worksheet>
</file>

<file path=xl/worksheets/sheet6.xml><?xml version="1.0" encoding="utf-8"?>
<x:worksheet xmlns:x="http://schemas.openxmlformats.org/spreadsheetml/2006/main">
  <x:sheetFormatPr baseColWidth="10" defaultColWidth="9" defaultRowHeight="14.25"/>
  <x:cols>
    <x:col min="1" max="1" width="18" customWidth="1"/>
    <x:col min="2" max="4" width="22" customWidth="1"/>
    <x:col min="5" max="5" width="52" customWidth="1"/>
  </x:cols>
  <x:sheetData>
    <x:row r="1" ht="27.950000762939453" customHeight="1">
      <x:c r="A1" s="13" t="s">
        <x:v>69</x:v>
      </x:c>
      <x:c r="B1" s="13"/>
      <x:c r="C1" s="13"/>
      <x:c r="D1" s="13"/>
      <x:c r="E1" s="13"/>
    </x:row>
    <x:row r="2" ht="42" customHeight="1">
      <x:c r="A2" s="14" t="s">
        <x:v>70</x:v>
      </x:c>
      <x:c r="B2" s="14"/>
      <x:c r="C2" s="14"/>
      <x:c r="D2" s="14"/>
      <x:c r="E2" s="14"/>
    </x:row>
    <x:row r="3" ht="30">
      <x:c r="A3" s="1" t="s">
        <x:v>71</x:v>
      </x:c>
      <x:c r="B3" s="1" t="s">
        <x:v>72</x:v>
      </x:c>
      <x:c r="C3" s="1" t="s">
        <x:v>73</x:v>
      </x:c>
      <x:c r="D3" s="1" t="s">
        <x:v>74</x:v>
      </x:c>
      <x:c r="E3" s="1" t="s">
        <x:v>11</x:v>
      </x:c>
    </x:row>
    <x:row r="4" ht="33.95000076293945" customHeight="1">
      <x:c r="A4" s="3" t="s">
        <x:v>75</x:v>
      </x:c>
      <x:c r="B4" s="5">
        <x:v>60</x:v>
      </x:c>
      <x:c r="C4" s="5" t="n">
        <x:f>3.8*2</x:f>
        <x:v>7.6</x:v>
      </x:c>
      <x:c r="D4" s="5" t="n">
        <x:f>25*2</x:f>
        <x:v>50</x:v>
      </x:c>
      <x:c r="E4" s="3" t="s">
        <x:v>76</x:v>
      </x:c>
    </x:row>
    <x:row r="5">
      <x:c r="B5" s="6"/>
      <x:c r="C5" s="6"/>
      <x:c r="D5" s="6"/>
    </x:row>
    <x:row r="6">
      <x:c r="B6" s="6"/>
      <x:c r="C6" s="6"/>
      <x:c r="D6" s="6"/>
    </x:row>
    <x:row r="7">
      <x:c r="B7" s="6"/>
      <x:c r="C7" s="6"/>
      <x:c r="D7" s="6"/>
    </x:row>
    <x:row r="8">
      <x:c r="B8" s="6"/>
      <x:c r="C8" s="6"/>
      <x:c r="D8" s="6"/>
    </x:row>
    <x:row r="9">
      <x:c r="B9" s="6"/>
      <x:c r="C9" s="6"/>
      <x:c r="D9" s="6"/>
    </x:row>
    <x:row r="10">
      <x:c r="B10" s="6"/>
      <x:c r="C10" s="6"/>
      <x:c r="D10" s="6"/>
    </x:row>
    <x:row r="11">
      <x:c r="B11" s="6"/>
      <x:c r="C11" s="6"/>
      <x:c r="D11" s="6"/>
    </x:row>
    <x:row r="12">
      <x:c r="B12" s="6"/>
      <x:c r="C12" s="6"/>
      <x:c r="D12" s="6"/>
    </x:row>
    <x:row r="13">
      <x:c r="B13" s="6"/>
      <x:c r="C13" s="6"/>
      <x:c r="D13" s="6"/>
    </x:row>
    <x:row r="14">
      <x:c r="B14" s="6"/>
      <x:c r="C14" s="6"/>
      <x:c r="D14" s="6"/>
    </x:row>
    <x:row r="15">
      <x:c r="B15" s="6"/>
      <x:c r="C15" s="6"/>
      <x:c r="D15" s="6"/>
    </x:row>
    <x:row r="16">
      <x:c r="B16" s="6"/>
      <x:c r="C16" s="6"/>
      <x:c r="D16" s="6"/>
    </x:row>
    <x:row r="17">
      <x:c r="B17" s="6"/>
      <x:c r="C17" s="6"/>
      <x:c r="D17" s="6"/>
    </x:row>
    <x:row r="18">
      <x:c r="B18" s="6"/>
      <x:c r="C18" s="6"/>
      <x:c r="D18" s="6"/>
    </x:row>
    <x:row r="19">
      <x:c r="B19" s="6"/>
      <x:c r="C19" s="6"/>
      <x:c r="D19" s="6"/>
    </x:row>
    <x:row r="20">
      <x:c r="B20" s="6"/>
      <x:c r="C20" s="6"/>
      <x:c r="D20" s="6"/>
    </x:row>
    <x:row r="21">
      <x:c r="B21" s="6"/>
      <x:c r="C21" s="6"/>
      <x:c r="D21" s="6"/>
    </x:row>
    <x:row r="22">
      <x:c r="B22" s="6"/>
      <x:c r="C22" s="6"/>
      <x:c r="D22" s="6"/>
    </x:row>
    <x:row r="23">
      <x:c r="B23" s="6"/>
      <x:c r="C23" s="6"/>
      <x:c r="D23" s="6"/>
    </x:row>
    <x:row r="24">
      <x:c r="B24" s="6"/>
      <x:c r="C24" s="6"/>
      <x:c r="D24" s="6"/>
    </x:row>
    <x:row r="25">
      <x:c r="B25" s="6"/>
      <x:c r="C25" s="6"/>
      <x:c r="D25" s="6"/>
    </x:row>
    <x:row r="26">
      <x:c r="B26" s="6"/>
      <x:c r="C26" s="6"/>
      <x:c r="D26" s="6"/>
    </x:row>
    <x:row r="27">
      <x:c r="B27" s="6"/>
      <x:c r="C27" s="6"/>
      <x:c r="D27" s="6"/>
    </x:row>
    <x:row r="28">
      <x:c r="B28" s="6"/>
      <x:c r="C28" s="6"/>
      <x:c r="D28" s="6"/>
    </x:row>
    <x:row r="29">
      <x:c r="B29" s="6"/>
      <x:c r="C29" s="6"/>
      <x:c r="D29" s="6"/>
    </x:row>
    <x:row r="30">
      <x:c r="B30" s="6"/>
      <x:c r="C30" s="6"/>
      <x:c r="D30" s="6"/>
    </x:row>
    <x:row r="31">
      <x:c r="B31" s="6"/>
      <x:c r="C31" s="6"/>
      <x:c r="D31" s="6"/>
    </x:row>
    <x:row r="32">
      <x:c r="B32" s="6"/>
      <x:c r="C32" s="6"/>
      <x:c r="D32" s="6"/>
    </x:row>
    <x:row r="33">
      <x:c r="B33" s="6"/>
      <x:c r="C33" s="6"/>
      <x:c r="D33" s="6"/>
    </x:row>
    <x:row r="34">
      <x:c r="B34" s="6"/>
      <x:c r="C34" s="6"/>
      <x:c r="D34" s="6"/>
    </x:row>
    <x:row r="35">
      <x:c r="B35" s="6"/>
      <x:c r="C35" s="6"/>
      <x:c r="D35" s="6"/>
    </x:row>
    <x:row r="36">
      <x:c r="B36" s="6"/>
      <x:c r="C36" s="6"/>
      <x:c r="D36" s="6"/>
    </x:row>
    <x:row r="37">
      <x:c r="B37" s="6"/>
      <x:c r="C37" s="6"/>
      <x:c r="D37" s="6"/>
    </x:row>
    <x:row r="38">
      <x:c r="B38" s="6"/>
      <x:c r="C38" s="6"/>
      <x:c r="D38" s="6"/>
    </x:row>
    <x:row r="39">
      <x:c r="B39" s="6"/>
      <x:c r="C39" s="6"/>
      <x:c r="D39" s="6"/>
    </x:row>
    <x:row r="40">
      <x:c r="B40" s="6"/>
      <x:c r="C40" s="6"/>
      <x:c r="D40" s="6"/>
    </x:row>
    <x:row r="41">
      <x:c r="B41" s="6"/>
      <x:c r="C41" s="6"/>
      <x:c r="D41" s="6"/>
    </x:row>
    <x:row r="42">
      <x:c r="B42" s="6"/>
      <x:c r="C42" s="6"/>
      <x:c r="D42" s="6"/>
    </x:row>
    <x:row r="43">
      <x:c r="B43" s="6"/>
      <x:c r="C43" s="6"/>
      <x:c r="D43" s="6"/>
    </x:row>
    <x:row r="44">
      <x:c r="B44" s="6"/>
      <x:c r="C44" s="6"/>
      <x:c r="D44" s="6"/>
    </x:row>
    <x:row r="45">
      <x:c r="B45" s="6"/>
      <x:c r="C45" s="6"/>
      <x:c r="D45" s="6"/>
    </x:row>
    <x:row r="46">
      <x:c r="B46" s="6"/>
      <x:c r="C46" s="6"/>
      <x:c r="D46" s="6"/>
    </x:row>
    <x:row r="47">
      <x:c r="B47" s="6"/>
      <x:c r="C47" s="6"/>
      <x:c r="D47" s="6"/>
    </x:row>
    <x:row r="48">
      <x:c r="B48" s="6"/>
      <x:c r="C48" s="6"/>
      <x:c r="D48" s="6"/>
    </x:row>
    <x:row r="49">
      <x:c r="B49" s="6"/>
      <x:c r="C49" s="6"/>
      <x:c r="D49" s="6"/>
    </x:row>
    <x:row r="50">
      <x:c r="B50" s="6"/>
      <x:c r="C50" s="6"/>
      <x:c r="D50" s="6"/>
    </x:row>
    <x:row r="51">
      <x:c r="B51" s="6"/>
      <x:c r="C51" s="6"/>
      <x:c r="D51" s="6"/>
    </x:row>
    <x:row r="52">
      <x:c r="B52" s="6"/>
      <x:c r="C52" s="6"/>
      <x:c r="D52" s="6"/>
    </x:row>
    <x:row r="53">
      <x:c r="B53" s="6"/>
      <x:c r="C53" s="6"/>
      <x:c r="D53" s="6"/>
    </x:row>
    <x:row r="54">
      <x:c r="B54" s="6"/>
      <x:c r="C54" s="6"/>
      <x:c r="D54" s="6"/>
    </x:row>
    <x:row r="55">
      <x:c r="B55" s="6"/>
      <x:c r="C55" s="6"/>
      <x:c r="D55" s="6"/>
    </x:row>
    <x:row r="56">
      <x:c r="B56" s="6"/>
      <x:c r="C56" s="6"/>
      <x:c r="D56" s="6"/>
    </x:row>
    <x:row r="57">
      <x:c r="B57" s="6"/>
      <x:c r="C57" s="6"/>
      <x:c r="D57" s="6"/>
    </x:row>
    <x:row r="58">
      <x:c r="B58" s="6"/>
      <x:c r="C58" s="6"/>
      <x:c r="D58" s="6"/>
    </x:row>
    <x:row r="59">
      <x:c r="B59" s="6"/>
      <x:c r="C59" s="6"/>
      <x:c r="D59" s="6"/>
    </x:row>
    <x:row r="60">
      <x:c r="B60" s="6"/>
      <x:c r="C60" s="6"/>
      <x:c r="D60" s="6"/>
    </x:row>
    <x:row r="61">
      <x:c r="B61" s="6"/>
      <x:c r="C61" s="6"/>
      <x:c r="D61" s="6"/>
    </x:row>
    <x:row r="62">
      <x:c r="B62" s="6"/>
      <x:c r="C62" s="6"/>
      <x:c r="D62" s="6"/>
    </x:row>
    <x:row r="63">
      <x:c r="B63" s="6"/>
      <x:c r="C63" s="6"/>
      <x:c r="D63" s="6"/>
    </x:row>
    <x:row r="64">
      <x:c r="B64" s="6"/>
      <x:c r="C64" s="6"/>
      <x:c r="D64" s="6"/>
    </x:row>
    <x:row r="65">
      <x:c r="B65" s="6"/>
      <x:c r="C65" s="6"/>
      <x:c r="D65" s="6"/>
    </x:row>
    <x:row r="66">
      <x:c r="B66" s="6"/>
      <x:c r="C66" s="6"/>
      <x:c r="D66" s="6"/>
    </x:row>
    <x:row r="67">
      <x:c r="B67" s="6"/>
      <x:c r="C67" s="6"/>
      <x:c r="D67" s="6"/>
    </x:row>
    <x:row r="68">
      <x:c r="B68" s="6"/>
      <x:c r="C68" s="6"/>
      <x:c r="D68" s="6"/>
    </x:row>
    <x:row r="69">
      <x:c r="B69" s="6"/>
      <x:c r="C69" s="6"/>
      <x:c r="D69" s="6"/>
    </x:row>
    <x:row r="70">
      <x:c r="B70" s="6"/>
      <x:c r="C70" s="6"/>
      <x:c r="D70" s="6"/>
    </x:row>
    <x:row r="71">
      <x:c r="B71" s="6"/>
      <x:c r="C71" s="6"/>
      <x:c r="D71" s="6"/>
    </x:row>
    <x:row r="72">
      <x:c r="B72" s="6"/>
      <x:c r="C72" s="6"/>
      <x:c r="D72" s="6"/>
    </x:row>
    <x:row r="73">
      <x:c r="B73" s="6"/>
      <x:c r="C73" s="6"/>
      <x:c r="D73" s="6"/>
    </x:row>
    <x:row r="74">
      <x:c r="B74" s="6"/>
      <x:c r="C74" s="6"/>
      <x:c r="D74" s="6"/>
    </x:row>
    <x:row r="75">
      <x:c r="B75" s="6"/>
      <x:c r="C75" s="6"/>
      <x:c r="D75" s="6"/>
    </x:row>
    <x:row r="76">
      <x:c r="B76" s="6"/>
      <x:c r="C76" s="6"/>
      <x:c r="D76" s="6"/>
    </x:row>
    <x:row r="77">
      <x:c r="B77" s="6"/>
      <x:c r="C77" s="6"/>
      <x:c r="D77" s="6"/>
    </x:row>
    <x:row r="78">
      <x:c r="B78" s="6"/>
      <x:c r="C78" s="6"/>
      <x:c r="D78" s="6"/>
    </x:row>
    <x:row r="79">
      <x:c r="B79" s="6"/>
      <x:c r="C79" s="6"/>
      <x:c r="D79" s="6"/>
    </x:row>
    <x:row r="80">
      <x:c r="B80" s="6"/>
      <x:c r="C80" s="6"/>
      <x:c r="D80" s="6"/>
    </x:row>
    <x:row r="81">
      <x:c r="B81" s="6"/>
      <x:c r="C81" s="6"/>
      <x:c r="D81" s="6"/>
    </x:row>
    <x:row r="82">
      <x:c r="B82" s="6"/>
      <x:c r="C82" s="6"/>
      <x:c r="D82" s="6"/>
    </x:row>
    <x:row r="83">
      <x:c r="B83" s="6"/>
      <x:c r="C83" s="6"/>
      <x:c r="D83" s="6"/>
    </x:row>
    <x:row r="84">
      <x:c r="B84" s="6"/>
      <x:c r="C84" s="6"/>
      <x:c r="D84" s="6"/>
    </x:row>
    <x:row r="85">
      <x:c r="B85" s="6"/>
      <x:c r="C85" s="6"/>
      <x:c r="D85" s="6"/>
    </x:row>
    <x:row r="86">
      <x:c r="B86" s="6"/>
      <x:c r="C86" s="6"/>
      <x:c r="D86" s="6"/>
    </x:row>
    <x:row r="87">
      <x:c r="B87" s="6"/>
      <x:c r="C87" s="6"/>
      <x:c r="D87" s="6"/>
    </x:row>
    <x:row r="88">
      <x:c r="B88" s="6"/>
      <x:c r="C88" s="6"/>
      <x:c r="D88" s="6"/>
    </x:row>
    <x:row r="89">
      <x:c r="B89" s="6"/>
      <x:c r="C89" s="6"/>
      <x:c r="D89" s="6"/>
    </x:row>
    <x:row r="90">
      <x:c r="B90" s="6"/>
      <x:c r="C90" s="6"/>
      <x:c r="D90" s="6"/>
    </x:row>
    <x:row r="91">
      <x:c r="B91" s="6"/>
      <x:c r="C91" s="6"/>
      <x:c r="D91" s="6"/>
    </x:row>
    <x:row r="92">
      <x:c r="B92" s="6"/>
      <x:c r="C92" s="6"/>
      <x:c r="D92" s="6"/>
    </x:row>
    <x:row r="93">
      <x:c r="B93" s="6"/>
      <x:c r="C93" s="6"/>
      <x:c r="D93" s="6"/>
    </x:row>
    <x:row r="94">
      <x:c r="B94" s="6"/>
      <x:c r="C94" s="6"/>
      <x:c r="D94" s="6"/>
    </x:row>
    <x:row r="95">
      <x:c r="B95" s="6"/>
      <x:c r="C95" s="6"/>
      <x:c r="D95" s="6"/>
    </x:row>
    <x:row r="96">
      <x:c r="B96" s="6"/>
      <x:c r="C96" s="6"/>
      <x:c r="D96" s="6"/>
    </x:row>
    <x:row r="97">
      <x:c r="B97" s="6"/>
      <x:c r="C97" s="6"/>
      <x:c r="D97" s="6"/>
    </x:row>
    <x:row r="98">
      <x:c r="B98" s="6"/>
      <x:c r="C98" s="6"/>
      <x:c r="D98" s="6"/>
    </x:row>
    <x:row r="99">
      <x:c r="B99" s="6"/>
      <x:c r="C99" s="6"/>
      <x:c r="D99" s="6"/>
    </x:row>
    <x:row r="100">
      <x:c r="B100" s="6"/>
      <x:c r="C100" s="6"/>
      <x:c r="D100" s="6"/>
    </x:row>
    <x:row r="101">
      <x:c r="B101" s="6"/>
      <x:c r="C101" s="6"/>
      <x:c r="D101" s="6"/>
    </x:row>
    <x:row r="102">
      <x:c r="B102" s="6"/>
      <x:c r="C102" s="6"/>
      <x:c r="D102" s="6"/>
    </x:row>
    <x:row r="103">
      <x:c r="B103" s="6"/>
      <x:c r="C103" s="6"/>
      <x:c r="D103" s="6"/>
    </x:row>
    <x:row r="104">
      <x:c r="B104" s="6"/>
      <x:c r="C104" s="6"/>
      <x:c r="D104" s="6"/>
    </x:row>
    <x:row r="105">
      <x:c r="B105" s="6"/>
      <x:c r="C105" s="6"/>
      <x:c r="D105" s="6"/>
    </x:row>
    <x:row r="106">
      <x:c r="B106" s="6"/>
      <x:c r="C106" s="6"/>
      <x:c r="D106" s="6"/>
    </x:row>
    <x:row r="107">
      <x:c r="B107" s="6"/>
      <x:c r="C107" s="6"/>
      <x:c r="D107" s="6"/>
    </x:row>
    <x:row r="108">
      <x:c r="B108" s="6"/>
      <x:c r="C108" s="6"/>
      <x:c r="D108" s="6"/>
    </x:row>
    <x:row r="109">
      <x:c r="B109" s="6"/>
      <x:c r="C109" s="6"/>
      <x:c r="D109" s="6"/>
    </x:row>
    <x:row r="110">
      <x:c r="B110" s="6"/>
      <x:c r="C110" s="6"/>
      <x:c r="D110" s="6"/>
    </x:row>
    <x:row r="111">
      <x:c r="B111" s="6"/>
      <x:c r="C111" s="6"/>
      <x:c r="D111" s="6"/>
    </x:row>
    <x:row r="112">
      <x:c r="B112" s="6"/>
      <x:c r="C112" s="6"/>
      <x:c r="D112" s="6"/>
    </x:row>
    <x:row r="113">
      <x:c r="B113" s="6"/>
      <x:c r="C113" s="6"/>
      <x:c r="D113" s="6"/>
    </x:row>
    <x:row r="114">
      <x:c r="B114" s="6"/>
      <x:c r="C114" s="6"/>
      <x:c r="D114" s="6"/>
    </x:row>
    <x:row r="115">
      <x:c r="B115" s="6"/>
      <x:c r="C115" s="6"/>
      <x:c r="D115" s="6"/>
    </x:row>
    <x:row r="116">
      <x:c r="B116" s="6"/>
      <x:c r="C116" s="6"/>
      <x:c r="D116" s="6"/>
    </x:row>
    <x:row r="117">
      <x:c r="B117" s="6"/>
      <x:c r="C117" s="6"/>
      <x:c r="D117" s="6"/>
    </x:row>
    <x:row r="118">
      <x:c r="B118" s="6"/>
      <x:c r="C118" s="6"/>
      <x:c r="D118" s="6"/>
    </x:row>
    <x:row r="119">
      <x:c r="B119" s="6"/>
      <x:c r="C119" s="6"/>
      <x:c r="D119" s="6"/>
    </x:row>
    <x:row r="120">
      <x:c r="B120" s="6"/>
      <x:c r="C120" s="6"/>
      <x:c r="D120" s="6"/>
    </x:row>
    <x:row r="121">
      <x:c r="B121" s="6"/>
      <x:c r="C121" s="6"/>
      <x:c r="D121" s="6"/>
    </x:row>
    <x:row r="122">
      <x:c r="B122" s="6"/>
      <x:c r="C122" s="6"/>
      <x:c r="D122" s="6"/>
    </x:row>
    <x:row r="123">
      <x:c r="B123" s="6"/>
      <x:c r="C123" s="6"/>
      <x:c r="D123" s="6"/>
    </x:row>
    <x:row r="124">
      <x:c r="B124" s="6"/>
      <x:c r="C124" s="6"/>
      <x:c r="D124" s="6"/>
    </x:row>
    <x:row r="125">
      <x:c r="B125" s="6"/>
      <x:c r="C125" s="6"/>
      <x:c r="D125" s="6"/>
    </x:row>
    <x:row r="126">
      <x:c r="B126" s="6"/>
      <x:c r="C126" s="6"/>
      <x:c r="D126" s="6"/>
    </x:row>
    <x:row r="127">
      <x:c r="B127" s="6"/>
      <x:c r="C127" s="6"/>
      <x:c r="D127" s="6"/>
    </x:row>
    <x:row r="128">
      <x:c r="B128" s="6"/>
      <x:c r="C128" s="6"/>
      <x:c r="D128" s="6"/>
    </x:row>
    <x:row r="129">
      <x:c r="B129" s="6"/>
      <x:c r="C129" s="6"/>
      <x:c r="D129" s="6"/>
    </x:row>
    <x:row r="130">
      <x:c r="B130" s="6"/>
      <x:c r="C130" s="6"/>
      <x:c r="D130" s="6"/>
    </x:row>
    <x:row r="131">
      <x:c r="B131" s="6"/>
      <x:c r="C131" s="6"/>
      <x:c r="D131" s="6"/>
    </x:row>
    <x:row r="132">
      <x:c r="B132" s="6"/>
      <x:c r="C132" s="6"/>
      <x:c r="D132" s="6"/>
    </x:row>
    <x:row r="133">
      <x:c r="B133" s="6"/>
      <x:c r="C133" s="6"/>
      <x:c r="D133" s="6"/>
    </x:row>
    <x:row r="134">
      <x:c r="B134" s="6"/>
      <x:c r="C134" s="6"/>
      <x:c r="D134" s="6"/>
    </x:row>
    <x:row r="135">
      <x:c r="B135" s="6"/>
      <x:c r="C135" s="6"/>
      <x:c r="D135" s="6"/>
    </x:row>
    <x:row r="136">
      <x:c r="B136" s="6"/>
      <x:c r="C136" s="6"/>
      <x:c r="D136" s="6"/>
    </x:row>
    <x:row r="137">
      <x:c r="B137" s="6"/>
      <x:c r="C137" s="6"/>
      <x:c r="D137" s="6"/>
    </x:row>
    <x:row r="138">
      <x:c r="B138" s="6"/>
      <x:c r="C138" s="6"/>
      <x:c r="D138" s="6"/>
    </x:row>
    <x:row r="139">
      <x:c r="B139" s="6"/>
      <x:c r="C139" s="6"/>
      <x:c r="D139" s="6"/>
    </x:row>
    <x:row r="140">
      <x:c r="B140" s="6"/>
      <x:c r="C140" s="6"/>
      <x:c r="D140" s="6"/>
    </x:row>
    <x:row r="141">
      <x:c r="B141" s="6"/>
      <x:c r="C141" s="6"/>
      <x:c r="D141" s="6"/>
    </x:row>
    <x:row r="142">
      <x:c r="B142" s="6"/>
      <x:c r="C142" s="6"/>
      <x:c r="D142" s="6"/>
    </x:row>
    <x:row r="143">
      <x:c r="B143" s="6"/>
      <x:c r="C143" s="6"/>
      <x:c r="D143" s="6"/>
    </x:row>
    <x:row r="144">
      <x:c r="B144" s="6"/>
      <x:c r="C144" s="6"/>
      <x:c r="D144" s="6"/>
    </x:row>
    <x:row r="145">
      <x:c r="B145" s="6"/>
      <x:c r="C145" s="6"/>
      <x:c r="D145" s="6"/>
    </x:row>
    <x:row r="146">
      <x:c r="B146" s="6"/>
      <x:c r="C146" s="6"/>
      <x:c r="D146" s="6"/>
    </x:row>
    <x:row r="147">
      <x:c r="B147" s="6"/>
      <x:c r="C147" s="6"/>
      <x:c r="D147" s="6"/>
    </x:row>
    <x:row r="148">
      <x:c r="B148" s="6"/>
      <x:c r="C148" s="6"/>
      <x:c r="D148" s="6"/>
    </x:row>
    <x:row r="149">
      <x:c r="B149" s="6"/>
      <x:c r="C149" s="6"/>
      <x:c r="D149" s="6"/>
    </x:row>
    <x:row r="150">
      <x:c r="B150" s="6"/>
      <x:c r="C150" s="6"/>
      <x:c r="D150" s="6"/>
    </x:row>
    <x:row r="151">
      <x:c r="B151" s="6"/>
      <x:c r="C151" s="6"/>
      <x:c r="D151" s="6"/>
    </x:row>
    <x:row r="152">
      <x:c r="B152" s="6"/>
      <x:c r="C152" s="6"/>
      <x:c r="D152" s="6"/>
    </x:row>
    <x:row r="153">
      <x:c r="B153" s="6"/>
      <x:c r="C153" s="6"/>
      <x:c r="D153" s="6"/>
    </x:row>
    <x:row r="154">
      <x:c r="B154" s="6"/>
      <x:c r="C154" s="6"/>
      <x:c r="D154" s="6"/>
    </x:row>
    <x:row r="155">
      <x:c r="B155" s="6"/>
      <x:c r="C155" s="6"/>
      <x:c r="D155" s="6"/>
    </x:row>
    <x:row r="156">
      <x:c r="B156" s="6"/>
      <x:c r="C156" s="6"/>
      <x:c r="D156" s="6"/>
    </x:row>
    <x:row r="157">
      <x:c r="B157" s="6"/>
      <x:c r="C157" s="6"/>
      <x:c r="D157" s="6"/>
    </x:row>
    <x:row r="158">
      <x:c r="B158" s="6"/>
      <x:c r="C158" s="6"/>
      <x:c r="D158" s="6"/>
    </x:row>
    <x:row r="159">
      <x:c r="B159" s="6"/>
      <x:c r="C159" s="6"/>
      <x:c r="D159" s="6"/>
    </x:row>
    <x:row r="160">
      <x:c r="B160" s="6"/>
      <x:c r="C160" s="6"/>
      <x:c r="D160" s="6"/>
    </x:row>
    <x:row r="161">
      <x:c r="B161" s="6"/>
      <x:c r="C161" s="6"/>
      <x:c r="D161" s="6"/>
    </x:row>
    <x:row r="162">
      <x:c r="B162" s="6"/>
      <x:c r="C162" s="6"/>
      <x:c r="D162" s="6"/>
    </x:row>
    <x:row r="163">
      <x:c r="B163" s="6"/>
      <x:c r="C163" s="6"/>
      <x:c r="D163" s="6"/>
    </x:row>
    <x:row r="164">
      <x:c r="B164" s="6"/>
      <x:c r="C164" s="6"/>
      <x:c r="D164" s="6"/>
    </x:row>
    <x:row r="165">
      <x:c r="B165" s="6"/>
      <x:c r="C165" s="6"/>
      <x:c r="D165" s="6"/>
    </x:row>
    <x:row r="166">
      <x:c r="B166" s="6"/>
      <x:c r="C166" s="6"/>
      <x:c r="D166" s="6"/>
    </x:row>
    <x:row r="167">
      <x:c r="B167" s="6"/>
      <x:c r="C167" s="6"/>
      <x:c r="D167" s="6"/>
    </x:row>
    <x:row r="168">
      <x:c r="B168" s="6"/>
      <x:c r="C168" s="6"/>
      <x:c r="D168" s="6"/>
    </x:row>
    <x:row r="169">
      <x:c r="B169" s="6"/>
      <x:c r="C169" s="6"/>
      <x:c r="D169" s="6"/>
    </x:row>
    <x:row r="170">
      <x:c r="B170" s="6"/>
      <x:c r="C170" s="6"/>
      <x:c r="D170" s="6"/>
    </x:row>
    <x:row r="171">
      <x:c r="B171" s="6"/>
      <x:c r="C171" s="6"/>
      <x:c r="D171" s="6"/>
    </x:row>
    <x:row r="172">
      <x:c r="B172" s="6"/>
      <x:c r="C172" s="6"/>
      <x:c r="D172" s="6"/>
    </x:row>
    <x:row r="173">
      <x:c r="B173" s="6"/>
      <x:c r="C173" s="6"/>
      <x:c r="D173" s="6"/>
    </x:row>
    <x:row r="174">
      <x:c r="B174" s="6"/>
      <x:c r="C174" s="6"/>
      <x:c r="D174" s="6"/>
    </x:row>
    <x:row r="175">
      <x:c r="B175" s="6"/>
      <x:c r="C175" s="6"/>
      <x:c r="D175" s="6"/>
    </x:row>
    <x:row r="176">
      <x:c r="B176" s="6"/>
      <x:c r="C176" s="6"/>
      <x:c r="D176" s="6"/>
    </x:row>
    <x:row r="177">
      <x:c r="B177" s="6"/>
      <x:c r="C177" s="6"/>
      <x:c r="D177" s="6"/>
    </x:row>
    <x:row r="178">
      <x:c r="B178" s="6"/>
      <x:c r="C178" s="6"/>
      <x:c r="D178" s="6"/>
    </x:row>
    <x:row r="179">
      <x:c r="B179" s="6"/>
      <x:c r="C179" s="6"/>
      <x:c r="D179" s="6"/>
    </x:row>
    <x:row r="180">
      <x:c r="B180" s="6"/>
      <x:c r="C180" s="6"/>
      <x:c r="D180" s="6"/>
    </x:row>
    <x:row r="181">
      <x:c r="B181" s="6"/>
      <x:c r="C181" s="6"/>
      <x:c r="D181" s="6"/>
    </x:row>
    <x:row r="182">
      <x:c r="B182" s="6"/>
      <x:c r="C182" s="6"/>
      <x:c r="D182" s="6"/>
    </x:row>
    <x:row r="183">
      <x:c r="B183" s="6"/>
      <x:c r="C183" s="6"/>
      <x:c r="D183" s="6"/>
    </x:row>
    <x:row r="184">
      <x:c r="B184" s="6"/>
      <x:c r="C184" s="6"/>
      <x:c r="D184" s="6"/>
    </x:row>
    <x:row r="185">
      <x:c r="B185" s="6"/>
      <x:c r="C185" s="6"/>
      <x:c r="D185" s="6"/>
    </x:row>
    <x:row r="186">
      <x:c r="B186" s="6"/>
      <x:c r="C186" s="6"/>
      <x:c r="D186" s="6"/>
    </x:row>
    <x:row r="187">
      <x:c r="B187" s="6"/>
      <x:c r="C187" s="6"/>
      <x:c r="D187" s="6"/>
    </x:row>
    <x:row r="188">
      <x:c r="B188" s="6"/>
      <x:c r="C188" s="6"/>
      <x:c r="D188" s="6"/>
    </x:row>
    <x:row r="189">
      <x:c r="B189" s="6"/>
      <x:c r="C189" s="6"/>
      <x:c r="D189" s="6"/>
    </x:row>
    <x:row r="190">
      <x:c r="B190" s="6"/>
      <x:c r="C190" s="6"/>
      <x:c r="D190" s="6"/>
    </x:row>
    <x:row r="191">
      <x:c r="B191" s="6"/>
      <x:c r="C191" s="6"/>
      <x:c r="D191" s="6"/>
    </x:row>
    <x:row r="192">
      <x:c r="B192" s="6"/>
      <x:c r="C192" s="6"/>
      <x:c r="D192" s="6"/>
    </x:row>
    <x:row r="193">
      <x:c r="B193" s="6"/>
      <x:c r="C193" s="6"/>
      <x:c r="D193" s="6"/>
    </x:row>
    <x:row r="194">
      <x:c r="B194" s="6"/>
      <x:c r="C194" s="6"/>
      <x:c r="D194" s="6"/>
    </x:row>
    <x:row r="195">
      <x:c r="B195" s="6"/>
      <x:c r="C195" s="6"/>
      <x:c r="D195" s="6"/>
    </x:row>
    <x:row r="196">
      <x:c r="B196" s="6"/>
      <x:c r="C196" s="6"/>
      <x:c r="D196" s="6"/>
    </x:row>
    <x:row r="197">
      <x:c r="B197" s="6"/>
      <x:c r="C197" s="6"/>
      <x:c r="D197" s="6"/>
    </x:row>
    <x:row r="198">
      <x:c r="B198" s="6"/>
      <x:c r="C198" s="6"/>
      <x:c r="D198" s="6"/>
    </x:row>
    <x:row r="199">
      <x:c r="B199" s="6"/>
      <x:c r="C199" s="6"/>
      <x:c r="D199" s="6"/>
    </x:row>
    <x:row r="200">
      <x:c r="B200" s="6"/>
      <x:c r="C200" s="6"/>
      <x:c r="D200" s="6"/>
    </x:row>
    <x:row r="201">
      <x:c r="B201" s="6"/>
      <x:c r="C201" s="6"/>
      <x:c r="D201" s="6"/>
    </x:row>
    <x:row r="202">
      <x:c r="B202" s="6"/>
      <x:c r="C202" s="6"/>
      <x:c r="D202" s="6"/>
    </x:row>
    <x:row r="203">
      <x:c r="B203" s="6"/>
      <x:c r="C203" s="6"/>
      <x:c r="D203" s="6"/>
    </x:row>
    <x:row r="204">
      <x:c r="B204" s="6"/>
      <x:c r="C204" s="6"/>
      <x:c r="D204" s="6"/>
    </x:row>
    <x:row r="205">
      <x:c r="B205" s="6"/>
      <x:c r="C205" s="6"/>
      <x:c r="D205" s="6"/>
    </x:row>
    <x:row r="206">
      <x:c r="B206" s="6"/>
      <x:c r="C206" s="6"/>
      <x:c r="D206" s="6"/>
    </x:row>
    <x:row r="207">
      <x:c r="B207" s="6"/>
      <x:c r="C207" s="6"/>
      <x:c r="D207" s="6"/>
    </x:row>
    <x:row r="208">
      <x:c r="B208" s="6"/>
      <x:c r="C208" s="6"/>
      <x:c r="D208" s="6"/>
    </x:row>
    <x:row r="209">
      <x:c r="B209" s="6"/>
      <x:c r="C209" s="6"/>
      <x:c r="D209" s="6"/>
    </x:row>
    <x:row r="210">
      <x:c r="B210" s="6"/>
      <x:c r="C210" s="6"/>
      <x:c r="D210" s="6"/>
    </x:row>
    <x:row r="211">
      <x:c r="B211" s="6"/>
      <x:c r="C211" s="6"/>
      <x:c r="D211" s="6"/>
    </x:row>
    <x:row r="212">
      <x:c r="B212" s="6"/>
      <x:c r="C212" s="6"/>
      <x:c r="D212" s="6"/>
    </x:row>
    <x:row r="213">
      <x:c r="B213" s="6"/>
      <x:c r="C213" s="6"/>
      <x:c r="D213" s="6"/>
    </x:row>
    <x:row r="214">
      <x:c r="B214" s="6"/>
      <x:c r="C214" s="6"/>
      <x:c r="D214" s="6"/>
    </x:row>
    <x:row r="215">
      <x:c r="B215" s="6"/>
      <x:c r="C215" s="6"/>
      <x:c r="D215" s="6"/>
    </x:row>
    <x:row r="216">
      <x:c r="B216" s="6"/>
      <x:c r="C216" s="6"/>
      <x:c r="D216" s="6"/>
    </x:row>
    <x:row r="217">
      <x:c r="B217" s="6"/>
      <x:c r="C217" s="6"/>
      <x:c r="D217" s="6"/>
    </x:row>
    <x:row r="218">
      <x:c r="B218" s="6"/>
      <x:c r="C218" s="6"/>
      <x:c r="D218" s="6"/>
    </x:row>
    <x:row r="219">
      <x:c r="B219" s="6"/>
      <x:c r="C219" s="6"/>
      <x:c r="D219" s="6"/>
    </x:row>
    <x:row r="220">
      <x:c r="B220" s="6"/>
      <x:c r="C220" s="6"/>
      <x:c r="D220" s="6"/>
    </x:row>
    <x:row r="221">
      <x:c r="B221" s="6"/>
      <x:c r="C221" s="6"/>
      <x:c r="D221" s="6"/>
    </x:row>
    <x:row r="222">
      <x:c r="B222" s="6"/>
      <x:c r="C222" s="6"/>
      <x:c r="D222" s="6"/>
    </x:row>
    <x:row r="223">
      <x:c r="B223" s="6"/>
      <x:c r="C223" s="6"/>
      <x:c r="D223" s="6"/>
    </x:row>
    <x:row r="224">
      <x:c r="B224" s="6"/>
      <x:c r="C224" s="6"/>
      <x:c r="D224" s="6"/>
    </x:row>
    <x:row r="225">
      <x:c r="B225" s="6"/>
      <x:c r="C225" s="6"/>
      <x:c r="D225" s="6"/>
    </x:row>
    <x:row r="226">
      <x:c r="B226" s="6"/>
      <x:c r="C226" s="6"/>
      <x:c r="D226" s="6"/>
    </x:row>
    <x:row r="227">
      <x:c r="B227" s="6"/>
      <x:c r="C227" s="6"/>
      <x:c r="D227" s="6"/>
    </x:row>
    <x:row r="228">
      <x:c r="B228" s="6"/>
      <x:c r="C228" s="6"/>
      <x:c r="D228" s="6"/>
    </x:row>
    <x:row r="229">
      <x:c r="B229" s="6"/>
      <x:c r="C229" s="6"/>
      <x:c r="D229" s="6"/>
    </x:row>
    <x:row r="230">
      <x:c r="B230" s="6"/>
      <x:c r="C230" s="6"/>
      <x:c r="D230" s="6"/>
    </x:row>
    <x:row r="231">
      <x:c r="B231" s="6"/>
      <x:c r="C231" s="6"/>
      <x:c r="D231" s="6"/>
    </x:row>
    <x:row r="232">
      <x:c r="B232" s="6"/>
      <x:c r="C232" s="6"/>
      <x:c r="D232" s="6"/>
    </x:row>
    <x:row r="233">
      <x:c r="B233" s="6"/>
      <x:c r="C233" s="6"/>
      <x:c r="D233" s="6"/>
    </x:row>
    <x:row r="234">
      <x:c r="B234" s="6"/>
      <x:c r="C234" s="6"/>
      <x:c r="D234" s="6"/>
    </x:row>
    <x:row r="235">
      <x:c r="B235" s="6"/>
      <x:c r="C235" s="6"/>
      <x:c r="D235" s="6"/>
    </x:row>
    <x:row r="236">
      <x:c r="B236" s="6"/>
      <x:c r="C236" s="6"/>
      <x:c r="D236" s="6"/>
    </x:row>
    <x:row r="237">
      <x:c r="B237" s="6"/>
      <x:c r="C237" s="6"/>
      <x:c r="D237" s="6"/>
    </x:row>
    <x:row r="238">
      <x:c r="B238" s="6"/>
      <x:c r="C238" s="6"/>
      <x:c r="D238" s="6"/>
    </x:row>
    <x:row r="239">
      <x:c r="B239" s="6"/>
      <x:c r="C239" s="6"/>
      <x:c r="D239" s="6"/>
    </x:row>
    <x:row r="240">
      <x:c r="B240" s="6"/>
      <x:c r="C240" s="6"/>
      <x:c r="D240" s="6"/>
    </x:row>
    <x:row r="241">
      <x:c r="B241" s="6"/>
      <x:c r="C241" s="6"/>
      <x:c r="D241" s="6"/>
    </x:row>
    <x:row r="242">
      <x:c r="B242" s="6"/>
      <x:c r="C242" s="6"/>
      <x:c r="D242" s="6"/>
    </x:row>
    <x:row r="243">
      <x:c r="B243" s="6"/>
      <x:c r="C243" s="6"/>
      <x:c r="D243" s="6"/>
    </x:row>
    <x:row r="244">
      <x:c r="B244" s="6"/>
      <x:c r="C244" s="6"/>
      <x:c r="D244" s="6"/>
    </x:row>
    <x:row r="245">
      <x:c r="B245" s="6"/>
      <x:c r="C245" s="6"/>
      <x:c r="D245" s="6"/>
    </x:row>
    <x:row r="246">
      <x:c r="B246" s="6"/>
      <x:c r="C246" s="6"/>
      <x:c r="D246" s="6"/>
    </x:row>
    <x:row r="247">
      <x:c r="B247" s="6"/>
      <x:c r="C247" s="6"/>
      <x:c r="D247" s="6"/>
    </x:row>
    <x:row r="248">
      <x:c r="B248" s="6"/>
      <x:c r="C248" s="6"/>
      <x:c r="D248" s="6"/>
    </x:row>
    <x:row r="249">
      <x:c r="B249" s="6"/>
      <x:c r="C249" s="6"/>
      <x:c r="D249" s="6"/>
    </x:row>
    <x:row r="250">
      <x:c r="B250" s="6"/>
      <x:c r="C250" s="6"/>
      <x:c r="D250" s="6"/>
    </x:row>
    <x:row r="251">
      <x:c r="B251" s="6"/>
      <x:c r="C251" s="6"/>
      <x:c r="D251" s="6"/>
    </x:row>
    <x:row r="252">
      <x:c r="B252" s="6"/>
      <x:c r="C252" s="6"/>
      <x:c r="D252" s="6"/>
    </x:row>
    <x:row r="253">
      <x:c r="B253" s="6"/>
      <x:c r="C253" s="6"/>
      <x:c r="D253" s="6"/>
    </x:row>
    <x:row r="254">
      <x:c r="B254" s="6"/>
      <x:c r="C254" s="6"/>
      <x:c r="D254" s="6"/>
    </x:row>
    <x:row r="255">
      <x:c r="B255" s="6"/>
      <x:c r="C255" s="6"/>
      <x:c r="D255" s="6"/>
    </x:row>
    <x:row r="256">
      <x:c r="B256" s="6"/>
      <x:c r="C256" s="6"/>
      <x:c r="D256" s="6"/>
    </x:row>
    <x:row r="257">
      <x:c r="B257" s="6"/>
      <x:c r="C257" s="6"/>
      <x:c r="D257" s="6"/>
    </x:row>
    <x:row r="258">
      <x:c r="B258" s="6"/>
      <x:c r="C258" s="6"/>
      <x:c r="D258" s="6"/>
    </x:row>
    <x:row r="259">
      <x:c r="B259" s="6"/>
      <x:c r="C259" s="6"/>
      <x:c r="D259" s="6"/>
    </x:row>
    <x:row r="260">
      <x:c r="B260" s="6"/>
      <x:c r="C260" s="6"/>
      <x:c r="D260" s="6"/>
    </x:row>
    <x:row r="261">
      <x:c r="B261" s="6"/>
      <x:c r="C261" s="6"/>
      <x:c r="D261" s="6"/>
    </x:row>
    <x:row r="262">
      <x:c r="B262" s="6"/>
      <x:c r="C262" s="6"/>
      <x:c r="D262" s="6"/>
    </x:row>
    <x:row r="263">
      <x:c r="B263" s="6"/>
      <x:c r="C263" s="6"/>
      <x:c r="D263" s="6"/>
    </x:row>
    <x:row r="264">
      <x:c r="B264" s="6"/>
      <x:c r="C264" s="6"/>
      <x:c r="D264" s="6"/>
    </x:row>
    <x:row r="265">
      <x:c r="B265" s="6"/>
      <x:c r="C265" s="6"/>
      <x:c r="D265" s="6"/>
    </x:row>
    <x:row r="266">
      <x:c r="B266" s="6"/>
      <x:c r="C266" s="6"/>
      <x:c r="D266" s="6"/>
    </x:row>
    <x:row r="267">
      <x:c r="B267" s="6"/>
      <x:c r="C267" s="6"/>
      <x:c r="D267" s="6"/>
    </x:row>
    <x:row r="268">
      <x:c r="B268" s="6"/>
      <x:c r="C268" s="6"/>
      <x:c r="D268" s="6"/>
    </x:row>
    <x:row r="269">
      <x:c r="B269" s="6"/>
      <x:c r="C269" s="6"/>
      <x:c r="D269" s="6"/>
    </x:row>
    <x:row r="270">
      <x:c r="B270" s="6"/>
      <x:c r="C270" s="6"/>
      <x:c r="D270" s="6"/>
    </x:row>
    <x:row r="271">
      <x:c r="B271" s="6"/>
      <x:c r="C271" s="6"/>
      <x:c r="D271" s="6"/>
    </x:row>
    <x:row r="272">
      <x:c r="B272" s="6"/>
      <x:c r="C272" s="6"/>
      <x:c r="D272" s="6"/>
    </x:row>
    <x:row r="273">
      <x:c r="B273" s="6"/>
      <x:c r="C273" s="6"/>
      <x:c r="D273" s="6"/>
    </x:row>
    <x:row r="274">
      <x:c r="B274" s="6"/>
      <x:c r="C274" s="6"/>
      <x:c r="D274" s="6"/>
    </x:row>
    <x:row r="275">
      <x:c r="B275" s="6"/>
      <x:c r="C275" s="6"/>
      <x:c r="D275" s="6"/>
    </x:row>
    <x:row r="276">
      <x:c r="B276" s="6"/>
      <x:c r="C276" s="6"/>
      <x:c r="D276" s="6"/>
    </x:row>
    <x:row r="277">
      <x:c r="B277" s="6"/>
      <x:c r="C277" s="6"/>
      <x:c r="D277" s="6"/>
    </x:row>
    <x:row r="278">
      <x:c r="B278" s="6"/>
      <x:c r="C278" s="6"/>
      <x:c r="D278" s="6"/>
    </x:row>
    <x:row r="279">
      <x:c r="B279" s="6"/>
      <x:c r="C279" s="6"/>
      <x:c r="D279" s="6"/>
    </x:row>
    <x:row r="280">
      <x:c r="B280" s="6"/>
      <x:c r="C280" s="6"/>
      <x:c r="D280" s="6"/>
    </x:row>
    <x:row r="281">
      <x:c r="B281" s="6"/>
      <x:c r="C281" s="6"/>
      <x:c r="D281" s="6"/>
    </x:row>
    <x:row r="282">
      <x:c r="B282" s="6"/>
      <x:c r="C282" s="6"/>
      <x:c r="D282" s="6"/>
    </x:row>
    <x:row r="283">
      <x:c r="B283" s="6"/>
      <x:c r="C283" s="6"/>
      <x:c r="D283" s="6"/>
    </x:row>
    <x:row r="284">
      <x:c r="B284" s="6"/>
      <x:c r="C284" s="6"/>
      <x:c r="D284" s="6"/>
    </x:row>
    <x:row r="285">
      <x:c r="B285" s="6"/>
      <x:c r="C285" s="6"/>
      <x:c r="D285" s="6"/>
    </x:row>
    <x:row r="286">
      <x:c r="B286" s="6"/>
      <x:c r="C286" s="6"/>
      <x:c r="D286" s="6"/>
    </x:row>
    <x:row r="287">
      <x:c r="B287" s="6"/>
      <x:c r="C287" s="6"/>
      <x:c r="D287" s="6"/>
    </x:row>
    <x:row r="288">
      <x:c r="B288" s="6"/>
      <x:c r="C288" s="6"/>
      <x:c r="D288" s="6"/>
    </x:row>
    <x:row r="289">
      <x:c r="B289" s="6"/>
      <x:c r="C289" s="6"/>
      <x:c r="D289" s="6"/>
    </x:row>
    <x:row r="290">
      <x:c r="B290" s="6"/>
      <x:c r="C290" s="6"/>
      <x:c r="D290" s="6"/>
    </x:row>
    <x:row r="291">
      <x:c r="B291" s="6"/>
      <x:c r="C291" s="6"/>
      <x:c r="D291" s="6"/>
    </x:row>
    <x:row r="292">
      <x:c r="B292" s="6"/>
      <x:c r="C292" s="6"/>
      <x:c r="D292" s="6"/>
    </x:row>
    <x:row r="293">
      <x:c r="B293" s="6"/>
      <x:c r="C293" s="6"/>
      <x:c r="D293" s="6"/>
    </x:row>
    <x:row r="294">
      <x:c r="B294" s="6"/>
      <x:c r="C294" s="6"/>
      <x:c r="D294" s="6"/>
    </x:row>
    <x:row r="295">
      <x:c r="B295" s="6"/>
      <x:c r="C295" s="6"/>
      <x:c r="D295" s="6"/>
    </x:row>
    <x:row r="296">
      <x:c r="B296" s="6"/>
      <x:c r="C296" s="6"/>
      <x:c r="D296" s="6"/>
    </x:row>
    <x:row r="297">
      <x:c r="B297" s="6"/>
      <x:c r="C297" s="6"/>
      <x:c r="D297" s="6"/>
    </x:row>
    <x:row r="298">
      <x:c r="B298" s="6"/>
      <x:c r="C298" s="6"/>
      <x:c r="D298" s="6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8e5c97dd3f7413c"/>
  </x:tableParts>
</x:worksheet>
</file>

<file path=xl/worksheets/sheet7.xml><?xml version="1.0" encoding="utf-8"?>
<x:worksheet xmlns:x="http://schemas.openxmlformats.org/spreadsheetml/2006/main">
  <x:sheetFormatPr baseColWidth="10" defaultColWidth="9" defaultRowHeight="14.25"/>
  <x:cols>
    <x:col min="1" max="1" width="24" customWidth="1"/>
    <x:col min="2" max="2" width="20" customWidth="1"/>
    <x:col min="3" max="3" width="22" customWidth="1"/>
    <x:col min="4" max="5" width="18" customWidth="1"/>
    <x:col min="6" max="6" width="20" customWidth="1"/>
    <x:col min="7" max="7" width="44" customWidth="1"/>
  </x:cols>
  <x:sheetData>
    <x:row r="1" ht="27.950000762939453" customHeight="1">
      <x:c r="A1" s="13" t="s">
        <x:v>77</x:v>
      </x:c>
      <x:c r="B1" s="13"/>
      <x:c r="C1" s="13"/>
      <x:c r="D1" s="13"/>
      <x:c r="E1" s="13"/>
      <x:c r="F1" s="13"/>
      <x:c r="G1" s="13"/>
    </x:row>
    <x:row r="2" ht="42" customHeight="1">
      <x:c r="A2" s="14" t="s">
        <x:v>78</x:v>
      </x:c>
      <x:c r="B2" s="14"/>
      <x:c r="C2" s="14"/>
      <x:c r="D2" s="14"/>
      <x:c r="E2" s="14"/>
      <x:c r="F2" s="14"/>
      <x:c r="G2" s="14"/>
    </x:row>
    <x:row r="3" ht="30">
      <x:c r="A3" s="1" t="s">
        <x:v>59</x:v>
      </x:c>
      <x:c r="B3" s="1" t="s">
        <x:v>79</x:v>
      </x:c>
      <x:c r="C3" s="1" t="s">
        <x:v>80</x:v>
      </x:c>
      <x:c r="D3" s="1" t="s">
        <x:v>81</x:v>
      </x:c>
      <x:c r="E3" s="1" t="s">
        <x:v>82</x:v>
      </x:c>
      <x:c r="F3" s="1" t="s">
        <x:v>83</x:v>
      </x:c>
      <x:c r="G3" s="1" t="s">
        <x:v>11</x:v>
      </x:c>
    </x:row>
    <x:row r="4" ht="33.95000076293945" customHeight="1">
      <x:c r="A4" s="3" t="s">
        <x:v>84</x:v>
      </x:c>
      <x:c r="B4" s="3">
        <x:v>10</x:v>
      </x:c>
      <x:c r="C4" s="3">
        <x:v>0</x:v>
      </x:c>
      <x:c r="D4" s="3">
        <x:v>5</x:v>
      </x:c>
      <x:c r="E4" s="3">
        <x:v>5</x:v>
      </x:c>
      <x:c r="F4" s="3">
        <x:v>0</x:v>
      </x:c>
      <x:c r="G4" s="3" t="s">
        <x:v>85</x:v>
      </x:c>
    </x:row>
    <x:row r="5" ht="33.95000076293945" customHeight="1">
      <x:c r="A5" s="3" t="s">
        <x:v>65</x:v>
      </x:c>
      <x:c r="B5" s="3">
        <x:v>7</x:v>
      </x:c>
      <x:c r="C5" s="3">
        <x:v>0</x:v>
      </x:c>
      <x:c r="D5" s="3">
        <x:v>5</x:v>
      </x:c>
      <x:c r="E5" s="3">
        <x:v>5</x:v>
      </x:c>
      <x:c r="F5" s="3">
        <x:v>0</x:v>
      </x:c>
      <x:c r="G5" s="3" t="s">
        <x:v>86</x:v>
      </x:c>
    </x:row>
    <x:row r="6" ht="33.95000076293945" customHeight="1">
      <x:c r="A6" s="3" t="s">
        <x:v>87</x:v>
      </x:c>
      <x:c r="B6" s="3">
        <x:v>12</x:v>
      </x:c>
      <x:c r="C6" s="3">
        <x:v>0</x:v>
      </x:c>
      <x:c r="D6" s="3">
        <x:v>5</x:v>
      </x:c>
      <x:c r="E6" s="3">
        <x:v>5</x:v>
      </x:c>
      <x:c r="F6" s="3">
        <x:v>0</x:v>
      </x:c>
      <x:c r="G6" s="3" t="s">
        <x:v>88</x:v>
      </x:c>
    </x:row>
    <x:row r="7" ht="33.95000076293945" customHeight="1">
      <x:c r="A7" s="3" t="s">
        <x:v>89</x:v>
      </x:c>
      <x:c r="B7" s="3">
        <x:v>12</x:v>
      </x:c>
      <x:c r="C7" s="3">
        <x:v>0</x:v>
      </x:c>
      <x:c r="D7" s="3">
        <x:v>5</x:v>
      </x:c>
      <x:c r="E7" s="3">
        <x:v>5</x:v>
      </x:c>
      <x:c r="F7" s="3">
        <x:v>0</x:v>
      </x:c>
      <x:c r="G7" s="3" t="s">
        <x:v>90</x:v>
      </x:c>
    </x:row>
    <x:row r="8" ht="33.95000076293945" customHeight="1">
      <x:c r="A8" s="3" t="s">
        <x:v>91</x:v>
      </x:c>
      <x:c r="B8" s="3">
        <x:v>20</x:v>
      </x:c>
      <x:c r="C8" s="3">
        <x:v>0</x:v>
      </x:c>
      <x:c r="D8" s="3">
        <x:v>5</x:v>
      </x:c>
      <x:c r="E8" s="3">
        <x:v>5</x:v>
      </x:c>
      <x:c r="F8" s="3">
        <x:v>0</x:v>
      </x:c>
      <x:c r="G8" s="3" t="s">
        <x:v>92</x:v>
      </x:c>
    </x:row>
    <x:row r="9" ht="33.95000076293945" customHeight="1">
      <x:c r="A9" s="3" t="s">
        <x:v>93</x:v>
      </x:c>
      <x:c r="B9" s="3">
        <x:v>10</x:v>
      </x:c>
      <x:c r="C9" s="3">
        <x:v>0</x:v>
      </x:c>
      <x:c r="D9" s="3">
        <x:v>5</x:v>
      </x:c>
      <x:c r="E9" s="3">
        <x:v>5</x:v>
      </x:c>
      <x:c r="F9" s="3">
        <x:v>0</x:v>
      </x:c>
      <x:c r="G9" s="3" t="s">
        <x:v>94</x:v>
      </x:c>
    </x:row>
    <x:row r="10" ht="33.95000076293945" customHeight="1">
      <x:c r="A10" s="3" t="s">
        <x:v>95</x:v>
      </x:c>
      <x:c r="B10" s="3">
        <x:v>7</x:v>
      </x:c>
      <x:c r="C10" s="3">
        <x:v>0</x:v>
      </x:c>
      <x:c r="D10" s="3">
        <x:v>5</x:v>
      </x:c>
      <x:c r="E10" s="3">
        <x:v>5</x:v>
      </x:c>
      <x:c r="F10" s="3">
        <x:v>0</x:v>
      </x:c>
      <x:c r="G10" s="3" t="s">
        <x:v>96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df1b174e1d04afd"/>
  </x:tableParts>
</x:worksheet>
</file>

<file path=xl/worksheets/sheet8.xml><?xml version="1.0" encoding="utf-8"?>
<x:worksheet xmlns:x="http://schemas.openxmlformats.org/spreadsheetml/2006/main">
  <x:sheetFormatPr baseColWidth="10" defaultColWidth="9" defaultRowHeight="14.25"/>
  <x:cols>
    <x:col min="1" max="1" width="28" customWidth="1"/>
    <x:col min="2" max="2" width="20" customWidth="1"/>
    <x:col min="3" max="3" width="24" customWidth="1"/>
    <x:col min="4" max="4" width="48" customWidth="1"/>
  </x:cols>
  <x:sheetData>
    <x:row r="1" ht="27.950000762939453" customHeight="1">
      <x:c r="A1" s="13" t="s">
        <x:v>97</x:v>
      </x:c>
      <x:c r="B1" s="13"/>
      <x:c r="C1" s="13"/>
      <x:c r="D1" s="13"/>
    </x:row>
    <x:row r="2" ht="42" customHeight="1">
      <x:c r="A2" s="14" t="s">
        <x:v>98</x:v>
      </x:c>
      <x:c r="B2" s="14"/>
      <x:c r="C2" s="14"/>
      <x:c r="D2" s="14"/>
    </x:row>
    <x:row r="3" ht="15">
      <x:c r="A3" s="1" t="s">
        <x:v>99</x:v>
      </x:c>
      <x:c r="B3" s="1" t="s">
        <x:v>100</x:v>
      </x:c>
      <x:c r="C3" s="1" t="s">
        <x:v>101</x:v>
      </x:c>
      <x:c r="D3" s="1" t="s">
        <x:v>11</x:v>
      </x:c>
    </x:row>
    <x:row r="4" ht="33.95000076293945" customHeight="1">
      <x:c r="A4" s="3" t="s">
        <x:v>102</x:v>
      </x:c>
      <x:c r="B4" s="5">
        <x:v>15.7</x:v>
      </x:c>
      <x:c r="C4" s="5" t="s">
        <x:v>103</x:v>
      </x:c>
      <x:c r="D4" s="5" t="s">
        <x:v>104</x:v>
      </x:c>
      <x:c r="E4" s="6"/>
    </x:row>
    <x:row r="5" ht="33.95000076293945" customHeight="1">
      <x:c r="A5" s="3" t="s">
        <x:v>105</x:v>
      </x:c>
      <x:c r="B5" s="5">
        <x:v>25</x:v>
      </x:c>
      <x:c r="C5" s="5" t="s">
        <x:v>103</x:v>
      </x:c>
      <x:c r="D5" s="5" t="s">
        <x:v>104</x:v>
      </x:c>
      <x:c r="E5" s="6"/>
    </x:row>
    <x:row r="6" ht="33.95000076293945" customHeight="1">
      <x:c r="A6" s="3" t="s">
        <x:v>106</x:v>
      </x:c>
      <x:c r="B6" s="5">
        <x:v>18</x:v>
      </x:c>
      <x:c r="C6" s="5" t="s">
        <x:v>103</x:v>
      </x:c>
      <x:c r="D6" s="5" t="s">
        <x:v>104</x:v>
      </x:c>
      <x:c r="E6" s="6"/>
    </x:row>
    <x:row r="7">
      <x:c r="B7" s="6"/>
      <x:c r="C7" s="6"/>
      <x:c r="D7" s="6"/>
      <x:c r="E7" s="6"/>
    </x:row>
    <x:row r="8">
      <x:c r="B8" s="6"/>
      <x:c r="C8" s="6"/>
      <x:c r="D8" s="6"/>
      <x:c r="E8" s="6"/>
    </x:row>
    <x:row r="9">
      <x:c r="B9" s="6"/>
      <x:c r="C9" s="6"/>
      <x:c r="D9" s="6"/>
      <x:c r="E9" s="6"/>
    </x:row>
    <x:row r="10">
      <x:c r="B10" s="6"/>
      <x:c r="C10" s="6"/>
      <x:c r="D10" s="6"/>
      <x:c r="E10" s="6"/>
    </x:row>
    <x:row r="11">
      <x:c r="B11" s="6"/>
      <x:c r="C11" s="6"/>
      <x:c r="D11" s="6"/>
      <x:c r="E11" s="6"/>
    </x:row>
    <x:row r="12">
      <x:c r="B12" s="6"/>
      <x:c r="C12" s="6"/>
      <x:c r="D12" s="6"/>
      <x:c r="E12" s="6"/>
    </x:row>
    <x:row r="13">
      <x:c r="B13" s="6"/>
      <x:c r="C13" s="6"/>
      <x:c r="D13" s="6"/>
      <x:c r="E13" s="6"/>
    </x:row>
    <x:row r="14">
      <x:c r="B14" s="6"/>
      <x:c r="C14" s="6"/>
      <x:c r="D14" s="6"/>
      <x:c r="E14" s="6"/>
    </x:row>
    <x:row r="15">
      <x:c r="B15" s="6"/>
      <x:c r="C15" s="6"/>
      <x:c r="D15" s="6"/>
      <x:c r="E15" s="6"/>
    </x:row>
    <x:row r="16">
      <x:c r="B16" s="6"/>
      <x:c r="C16" s="6"/>
      <x:c r="D16" s="6"/>
      <x:c r="E16" s="6"/>
    </x:row>
    <x:row r="17">
      <x:c r="B17" s="6"/>
      <x:c r="C17" s="6"/>
      <x:c r="D17" s="6"/>
      <x:c r="E17" s="6"/>
    </x:row>
    <x:row r="18">
      <x:c r="B18" s="6"/>
      <x:c r="C18" s="6"/>
      <x:c r="D18" s="6"/>
      <x:c r="E18" s="6"/>
    </x:row>
    <x:row r="19">
      <x:c r="B19" s="6"/>
      <x:c r="C19" s="6"/>
      <x:c r="D19" s="6"/>
      <x:c r="E19" s="6"/>
    </x:row>
    <x:row r="20">
      <x:c r="B20" s="6"/>
      <x:c r="C20" s="6"/>
      <x:c r="D20" s="6"/>
      <x:c r="E20" s="6"/>
    </x:row>
    <x:row r="21">
      <x:c r="B21" s="6"/>
      <x:c r="C21" s="6"/>
      <x:c r="D21" s="6"/>
      <x:c r="E21" s="6"/>
    </x:row>
    <x:row r="22">
      <x:c r="B22" s="6"/>
      <x:c r="C22" s="6"/>
      <x:c r="D22" s="6"/>
      <x:c r="E22" s="6"/>
    </x:row>
    <x:row r="23">
      <x:c r="B23" s="6"/>
      <x:c r="C23" s="6"/>
      <x:c r="D23" s="6"/>
      <x:c r="E23" s="6"/>
    </x:row>
    <x:row r="24">
      <x:c r="B24" s="6"/>
      <x:c r="C24" s="6"/>
      <x:c r="D24" s="6"/>
      <x:c r="E24" s="6"/>
    </x:row>
    <x:row r="25">
      <x:c r="B25" s="6"/>
      <x:c r="C25" s="6"/>
      <x:c r="D25" s="6"/>
      <x:c r="E25" s="6"/>
    </x:row>
    <x:row r="26">
      <x:c r="B26" s="6"/>
      <x:c r="C26" s="6"/>
      <x:c r="D26" s="6"/>
      <x:c r="E26" s="6"/>
    </x:row>
    <x:row r="27">
      <x:c r="B27" s="6"/>
      <x:c r="C27" s="6"/>
      <x:c r="D27" s="6"/>
      <x:c r="E27" s="6"/>
    </x:row>
    <x:row r="28">
      <x:c r="B28" s="6"/>
      <x:c r="C28" s="6"/>
      <x:c r="D28" s="6"/>
      <x:c r="E28" s="6"/>
    </x:row>
    <x:row r="29">
      <x:c r="B29" s="6"/>
      <x:c r="C29" s="6"/>
      <x:c r="D29" s="6"/>
      <x:c r="E29" s="6"/>
    </x:row>
    <x:row r="30">
      <x:c r="B30" s="6"/>
      <x:c r="C30" s="6"/>
      <x:c r="D30" s="6"/>
      <x:c r="E30" s="6"/>
    </x:row>
    <x:row r="31">
      <x:c r="B31" s="6"/>
      <x:c r="C31" s="6"/>
      <x:c r="D31" s="6"/>
      <x:c r="E31" s="6"/>
    </x:row>
    <x:row r="32">
      <x:c r="B32" s="6"/>
      <x:c r="C32" s="6"/>
      <x:c r="D32" s="6"/>
      <x:c r="E32" s="6"/>
    </x:row>
    <x:row r="33">
      <x:c r="B33" s="6"/>
      <x:c r="C33" s="6"/>
      <x:c r="D33" s="6"/>
      <x:c r="E33" s="6"/>
    </x:row>
    <x:row r="34">
      <x:c r="B34" s="6"/>
      <x:c r="C34" s="6"/>
      <x:c r="D34" s="6"/>
      <x:c r="E34" s="6"/>
    </x:row>
    <x:row r="35">
      <x:c r="B35" s="6"/>
      <x:c r="C35" s="6"/>
      <x:c r="D35" s="6"/>
      <x:c r="E35" s="6"/>
    </x:row>
    <x:row r="36">
      <x:c r="B36" s="6"/>
      <x:c r="C36" s="6"/>
      <x:c r="D36" s="6"/>
      <x:c r="E36" s="6"/>
    </x:row>
    <x:row r="37">
      <x:c r="B37" s="6"/>
      <x:c r="C37" s="6"/>
      <x:c r="D37" s="6"/>
      <x:c r="E37" s="6"/>
    </x:row>
    <x:row r="38">
      <x:c r="B38" s="6"/>
      <x:c r="C38" s="6"/>
      <x:c r="D38" s="6"/>
      <x:c r="E38" s="6"/>
    </x:row>
    <x:row r="39">
      <x:c r="B39" s="6"/>
      <x:c r="C39" s="6"/>
      <x:c r="D39" s="6"/>
      <x:c r="E39" s="6"/>
    </x:row>
    <x:row r="40">
      <x:c r="B40" s="6"/>
      <x:c r="C40" s="6"/>
      <x:c r="D40" s="6"/>
      <x:c r="E40" s="6"/>
    </x:row>
    <x:row r="41">
      <x:c r="B41" s="6"/>
      <x:c r="C41" s="6"/>
      <x:c r="D41" s="6"/>
      <x:c r="E41" s="6"/>
    </x:row>
    <x:row r="42">
      <x:c r="B42" s="6"/>
      <x:c r="C42" s="6"/>
      <x:c r="D42" s="6"/>
      <x:c r="E42" s="6"/>
    </x:row>
    <x:row r="43">
      <x:c r="B43" s="6"/>
      <x:c r="C43" s="6"/>
      <x:c r="D43" s="6"/>
      <x:c r="E43" s="6"/>
    </x:row>
    <x:row r="44">
      <x:c r="B44" s="6"/>
      <x:c r="C44" s="6"/>
      <x:c r="D44" s="6"/>
      <x:c r="E44" s="6"/>
    </x:row>
    <x:row r="45">
      <x:c r="B45" s="6"/>
      <x:c r="C45" s="6"/>
      <x:c r="D45" s="6"/>
      <x:c r="E45" s="6"/>
    </x:row>
    <x:row r="46">
      <x:c r="B46" s="6"/>
      <x:c r="C46" s="6"/>
      <x:c r="D46" s="6"/>
      <x:c r="E46" s="6"/>
    </x:row>
    <x:row r="47">
      <x:c r="B47" s="6"/>
      <x:c r="C47" s="6"/>
      <x:c r="D47" s="6"/>
      <x:c r="E47" s="6"/>
    </x:row>
    <x:row r="48">
      <x:c r="B48" s="6"/>
      <x:c r="C48" s="6"/>
      <x:c r="D48" s="6"/>
      <x:c r="E48" s="6"/>
    </x:row>
    <x:row r="49">
      <x:c r="B49" s="6"/>
      <x:c r="C49" s="6"/>
      <x:c r="D49" s="6"/>
      <x:c r="E49" s="6"/>
    </x:row>
    <x:row r="50">
      <x:c r="B50" s="6"/>
      <x:c r="C50" s="6"/>
      <x:c r="D50" s="6"/>
      <x:c r="E50" s="6"/>
    </x:row>
    <x:row r="51">
      <x:c r="B51" s="6"/>
      <x:c r="C51" s="6"/>
      <x:c r="D51" s="6"/>
      <x:c r="E51" s="6"/>
    </x:row>
    <x:row r="52">
      <x:c r="B52" s="6"/>
      <x:c r="C52" s="6"/>
      <x:c r="D52" s="6"/>
      <x:c r="E52" s="6"/>
    </x:row>
    <x:row r="53">
      <x:c r="B53" s="6"/>
      <x:c r="C53" s="6"/>
      <x:c r="D53" s="6"/>
      <x:c r="E53" s="6"/>
    </x:row>
    <x:row r="54">
      <x:c r="B54" s="6"/>
      <x:c r="C54" s="6"/>
      <x:c r="D54" s="6"/>
      <x:c r="E54" s="6"/>
    </x:row>
    <x:row r="55">
      <x:c r="B55" s="6"/>
      <x:c r="C55" s="6"/>
      <x:c r="D55" s="6"/>
      <x:c r="E55" s="6"/>
    </x:row>
    <x:row r="56">
      <x:c r="B56" s="6"/>
      <x:c r="C56" s="6"/>
      <x:c r="D56" s="6"/>
      <x:c r="E56" s="6"/>
    </x:row>
    <x:row r="57">
      <x:c r="B57" s="6"/>
      <x:c r="C57" s="6"/>
      <x:c r="D57" s="6"/>
      <x:c r="E57" s="6"/>
    </x:row>
    <x:row r="58">
      <x:c r="B58" s="6"/>
      <x:c r="C58" s="6"/>
      <x:c r="D58" s="6"/>
      <x:c r="E58" s="6"/>
    </x:row>
    <x:row r="59">
      <x:c r="B59" s="6"/>
      <x:c r="C59" s="6"/>
      <x:c r="D59" s="6"/>
      <x:c r="E59" s="6"/>
    </x:row>
    <x:row r="60">
      <x:c r="B60" s="6"/>
      <x:c r="C60" s="6"/>
      <x:c r="D60" s="6"/>
      <x:c r="E60" s="6"/>
    </x:row>
    <x:row r="61">
      <x:c r="B61" s="6"/>
      <x:c r="C61" s="6"/>
      <x:c r="D61" s="6"/>
      <x:c r="E61" s="6"/>
    </x:row>
    <x:row r="62">
      <x:c r="B62" s="6"/>
      <x:c r="C62" s="6"/>
      <x:c r="D62" s="6"/>
      <x:c r="E62" s="6"/>
    </x:row>
    <x:row r="63">
      <x:c r="B63" s="6"/>
      <x:c r="C63" s="6"/>
      <x:c r="D63" s="6"/>
      <x:c r="E63" s="6"/>
    </x:row>
    <x:row r="64">
      <x:c r="B64" s="6"/>
      <x:c r="C64" s="6"/>
      <x:c r="D64" s="6"/>
      <x:c r="E64" s="6"/>
    </x:row>
    <x:row r="65">
      <x:c r="B65" s="6"/>
      <x:c r="C65" s="6"/>
      <x:c r="D65" s="6"/>
      <x:c r="E65" s="6"/>
    </x:row>
    <x:row r="66">
      <x:c r="B66" s="6"/>
      <x:c r="C66" s="6"/>
      <x:c r="D66" s="6"/>
      <x:c r="E66" s="6"/>
    </x:row>
    <x:row r="67">
      <x:c r="B67" s="6"/>
      <x:c r="C67" s="6"/>
      <x:c r="D67" s="6"/>
      <x:c r="E67" s="6"/>
    </x:row>
    <x:row r="68">
      <x:c r="B68" s="6"/>
      <x:c r="C68" s="6"/>
      <x:c r="D68" s="6"/>
      <x:c r="E68" s="6"/>
    </x:row>
    <x:row r="69">
      <x:c r="B69" s="6"/>
      <x:c r="C69" s="6"/>
      <x:c r="D69" s="6"/>
      <x:c r="E69" s="6"/>
    </x:row>
    <x:row r="70">
      <x:c r="B70" s="6"/>
      <x:c r="C70" s="6"/>
      <x:c r="D70" s="6"/>
      <x:c r="E70" s="6"/>
    </x:row>
    <x:row r="71">
      <x:c r="B71" s="6"/>
      <x:c r="C71" s="6"/>
      <x:c r="D71" s="6"/>
      <x:c r="E71" s="6"/>
    </x:row>
    <x:row r="72">
      <x:c r="B72" s="6"/>
      <x:c r="C72" s="6"/>
      <x:c r="D72" s="6"/>
      <x:c r="E72" s="6"/>
    </x:row>
    <x:row r="73">
      <x:c r="B73" s="6"/>
      <x:c r="C73" s="6"/>
      <x:c r="D73" s="6"/>
      <x:c r="E73" s="6"/>
    </x:row>
    <x:row r="74">
      <x:c r="B74" s="6"/>
      <x:c r="C74" s="6"/>
      <x:c r="D74" s="6"/>
      <x:c r="E74" s="6"/>
    </x:row>
    <x:row r="75">
      <x:c r="B75" s="6"/>
      <x:c r="C75" s="6"/>
      <x:c r="D75" s="6"/>
      <x:c r="E75" s="6"/>
    </x:row>
    <x:row r="76">
      <x:c r="B76" s="6"/>
      <x:c r="C76" s="6"/>
      <x:c r="D76" s="6"/>
      <x:c r="E76" s="6"/>
    </x:row>
    <x:row r="77">
      <x:c r="B77" s="6"/>
      <x:c r="C77" s="6"/>
      <x:c r="D77" s="6"/>
      <x:c r="E77" s="6"/>
    </x:row>
    <x:row r="78">
      <x:c r="B78" s="6"/>
      <x:c r="C78" s="6"/>
      <x:c r="D78" s="6"/>
      <x:c r="E78" s="6"/>
    </x:row>
    <x:row r="79">
      <x:c r="B79" s="6"/>
      <x:c r="C79" s="6"/>
      <x:c r="D79" s="6"/>
      <x:c r="E79" s="6"/>
    </x:row>
    <x:row r="80">
      <x:c r="B80" s="6"/>
      <x:c r="C80" s="6"/>
      <x:c r="D80" s="6"/>
      <x:c r="E80" s="6"/>
    </x:row>
    <x:row r="81">
      <x:c r="B81" s="6"/>
      <x:c r="C81" s="6"/>
      <x:c r="D81" s="6"/>
      <x:c r="E81" s="6"/>
    </x:row>
    <x:row r="82">
      <x:c r="B82" s="6"/>
      <x:c r="C82" s="6"/>
      <x:c r="D82" s="6"/>
      <x:c r="E82" s="6"/>
    </x:row>
    <x:row r="83">
      <x:c r="B83" s="6"/>
      <x:c r="C83" s="6"/>
      <x:c r="D83" s="6"/>
      <x:c r="E83" s="6"/>
    </x:row>
    <x:row r="84">
      <x:c r="B84" s="6"/>
      <x:c r="C84" s="6"/>
      <x:c r="D84" s="6"/>
      <x:c r="E84" s="6"/>
    </x:row>
    <x:row r="85">
      <x:c r="B85" s="6"/>
      <x:c r="C85" s="6"/>
      <x:c r="D85" s="6"/>
      <x:c r="E85" s="6"/>
    </x:row>
    <x:row r="86">
      <x:c r="B86" s="6"/>
      <x:c r="C86" s="6"/>
      <x:c r="D86" s="6"/>
      <x:c r="E86" s="6"/>
    </x:row>
    <x:row r="87">
      <x:c r="B87" s="6"/>
      <x:c r="C87" s="6"/>
      <x:c r="D87" s="6"/>
      <x:c r="E87" s="6"/>
    </x:row>
    <x:row r="88">
      <x:c r="B88" s="6"/>
      <x:c r="C88" s="6"/>
      <x:c r="D88" s="6"/>
      <x:c r="E88" s="6"/>
    </x:row>
    <x:row r="89">
      <x:c r="B89" s="6"/>
      <x:c r="C89" s="6"/>
      <x:c r="D89" s="6"/>
      <x:c r="E89" s="6"/>
    </x:row>
    <x:row r="90">
      <x:c r="B90" s="6"/>
      <x:c r="C90" s="6"/>
      <x:c r="D90" s="6"/>
      <x:c r="E90" s="6"/>
    </x:row>
    <x:row r="91">
      <x:c r="B91" s="6"/>
      <x:c r="C91" s="6"/>
      <x:c r="D91" s="6"/>
      <x:c r="E91" s="6"/>
    </x:row>
    <x:row r="92">
      <x:c r="B92" s="6"/>
      <x:c r="C92" s="6"/>
      <x:c r="D92" s="6"/>
      <x:c r="E92" s="6"/>
    </x:row>
    <x:row r="93">
      <x:c r="B93" s="6"/>
      <x:c r="C93" s="6"/>
      <x:c r="D93" s="6"/>
      <x:c r="E93" s="6"/>
    </x:row>
    <x:row r="94">
      <x:c r="B94" s="6"/>
      <x:c r="C94" s="6"/>
      <x:c r="D94" s="6"/>
      <x:c r="E94" s="6"/>
    </x:row>
    <x:row r="95">
      <x:c r="B95" s="6"/>
      <x:c r="C95" s="6"/>
      <x:c r="D95" s="6"/>
      <x:c r="E95" s="6"/>
    </x:row>
    <x:row r="96">
      <x:c r="B96" s="6"/>
      <x:c r="C96" s="6"/>
      <x:c r="D96" s="6"/>
      <x:c r="E96" s="6"/>
    </x:row>
    <x:row r="97">
      <x:c r="B97" s="6"/>
      <x:c r="C97" s="6"/>
      <x:c r="D97" s="6"/>
      <x:c r="E97" s="6"/>
    </x:row>
    <x:row r="98">
      <x:c r="B98" s="6"/>
      <x:c r="C98" s="6"/>
      <x:c r="D98" s="6"/>
      <x:c r="E98" s="6"/>
    </x:row>
    <x:row r="99">
      <x:c r="B99" s="6"/>
      <x:c r="C99" s="6"/>
      <x:c r="D99" s="6"/>
      <x:c r="E99" s="6"/>
    </x:row>
    <x:row r="100">
      <x:c r="B100" s="6"/>
      <x:c r="C100" s="6"/>
      <x:c r="D100" s="6"/>
      <x:c r="E100" s="6"/>
    </x:row>
    <x:row r="101">
      <x:c r="B101" s="6"/>
      <x:c r="C101" s="6"/>
      <x:c r="D101" s="6"/>
      <x:c r="E101" s="6"/>
    </x:row>
    <x:row r="102">
      <x:c r="B102" s="6"/>
      <x:c r="C102" s="6"/>
      <x:c r="D102" s="6"/>
      <x:c r="E102" s="6"/>
    </x:row>
    <x:row r="103">
      <x:c r="B103" s="6"/>
      <x:c r="C103" s="6"/>
      <x:c r="D103" s="6"/>
      <x:c r="E103" s="6"/>
    </x:row>
    <x:row r="104">
      <x:c r="B104" s="6"/>
      <x:c r="C104" s="6"/>
      <x:c r="D104" s="6"/>
      <x:c r="E104" s="6"/>
    </x:row>
    <x:row r="105">
      <x:c r="B105" s="6"/>
      <x:c r="C105" s="6"/>
      <x:c r="D105" s="6"/>
      <x:c r="E105" s="6"/>
    </x:row>
    <x:row r="106">
      <x:c r="B106" s="6"/>
      <x:c r="C106" s="6"/>
      <x:c r="D106" s="6"/>
      <x:c r="E106" s="6"/>
    </x:row>
    <x:row r="107">
      <x:c r="B107" s="6"/>
      <x:c r="C107" s="6"/>
      <x:c r="D107" s="6"/>
      <x:c r="E107" s="6"/>
    </x:row>
    <x:row r="108">
      <x:c r="B108" s="6"/>
      <x:c r="C108" s="6"/>
      <x:c r="D108" s="6"/>
      <x:c r="E108" s="6"/>
    </x:row>
    <x:row r="109">
      <x:c r="B109" s="6"/>
      <x:c r="C109" s="6"/>
      <x:c r="D109" s="6"/>
      <x:c r="E109" s="6"/>
    </x:row>
    <x:row r="110">
      <x:c r="B110" s="6"/>
      <x:c r="C110" s="6"/>
      <x:c r="D110" s="6"/>
      <x:c r="E110" s="6"/>
    </x:row>
    <x:row r="111">
      <x:c r="B111" s="6"/>
      <x:c r="C111" s="6"/>
      <x:c r="D111" s="6"/>
      <x:c r="E111" s="6"/>
    </x:row>
    <x:row r="112">
      <x:c r="B112" s="6"/>
      <x:c r="C112" s="6"/>
      <x:c r="D112" s="6"/>
      <x:c r="E112" s="6"/>
    </x:row>
    <x:row r="113">
      <x:c r="B113" s="6"/>
      <x:c r="C113" s="6"/>
      <x:c r="D113" s="6"/>
      <x:c r="E113" s="6"/>
    </x:row>
    <x:row r="114">
      <x:c r="B114" s="6"/>
      <x:c r="C114" s="6"/>
      <x:c r="D114" s="6"/>
      <x:c r="E114" s="6"/>
    </x:row>
    <x:row r="115">
      <x:c r="B115" s="6"/>
      <x:c r="C115" s="6"/>
      <x:c r="D115" s="6"/>
      <x:c r="E115" s="6"/>
    </x:row>
    <x:row r="116">
      <x:c r="B116" s="6"/>
      <x:c r="C116" s="6"/>
      <x:c r="D116" s="6"/>
      <x:c r="E116" s="6"/>
    </x:row>
    <x:row r="117">
      <x:c r="B117" s="6"/>
      <x:c r="C117" s="6"/>
      <x:c r="D117" s="6"/>
      <x:c r="E117" s="6"/>
    </x:row>
    <x:row r="118">
      <x:c r="B118" s="6"/>
      <x:c r="C118" s="6"/>
      <x:c r="D118" s="6"/>
      <x:c r="E118" s="6"/>
    </x:row>
    <x:row r="119">
      <x:c r="B119" s="6"/>
      <x:c r="C119" s="6"/>
      <x:c r="D119" s="6"/>
      <x:c r="E119" s="6"/>
    </x:row>
    <x:row r="120">
      <x:c r="B120" s="6"/>
      <x:c r="C120" s="6"/>
      <x:c r="D120" s="6"/>
      <x:c r="E120" s="6"/>
    </x:row>
    <x:row r="121">
      <x:c r="B121" s="6"/>
      <x:c r="C121" s="6"/>
      <x:c r="D121" s="6"/>
      <x:c r="E121" s="6"/>
    </x:row>
    <x:row r="122">
      <x:c r="B122" s="6"/>
      <x:c r="C122" s="6"/>
      <x:c r="D122" s="6"/>
      <x:c r="E122" s="6"/>
    </x:row>
    <x:row r="123">
      <x:c r="B123" s="6"/>
      <x:c r="C123" s="6"/>
      <x:c r="D123" s="6"/>
      <x:c r="E123" s="6"/>
    </x:row>
    <x:row r="124">
      <x:c r="B124" s="6"/>
      <x:c r="C124" s="6"/>
      <x:c r="D124" s="6"/>
      <x:c r="E124" s="6"/>
    </x:row>
    <x:row r="125">
      <x:c r="B125" s="6"/>
      <x:c r="C125" s="6"/>
      <x:c r="D125" s="6"/>
      <x:c r="E125" s="6"/>
    </x:row>
    <x:row r="126">
      <x:c r="B126" s="6"/>
      <x:c r="C126" s="6"/>
      <x:c r="D126" s="6"/>
      <x:c r="E126" s="6"/>
    </x:row>
    <x:row r="127">
      <x:c r="B127" s="6"/>
      <x:c r="C127" s="6"/>
      <x:c r="D127" s="6"/>
      <x:c r="E127" s="6"/>
    </x:row>
    <x:row r="128">
      <x:c r="B128" s="6"/>
      <x:c r="C128" s="6"/>
      <x:c r="D128" s="6"/>
      <x:c r="E128" s="6"/>
    </x:row>
    <x:row r="129">
      <x:c r="B129" s="6"/>
      <x:c r="C129" s="6"/>
      <x:c r="D129" s="6"/>
      <x:c r="E129" s="6"/>
    </x:row>
    <x:row r="130">
      <x:c r="B130" s="6"/>
      <x:c r="C130" s="6"/>
      <x:c r="D130" s="6"/>
      <x:c r="E130" s="6"/>
    </x:row>
    <x:row r="131">
      <x:c r="B131" s="6"/>
      <x:c r="C131" s="6"/>
      <x:c r="D131" s="6"/>
      <x:c r="E131" s="6"/>
    </x:row>
    <x:row r="132">
      <x:c r="B132" s="6"/>
      <x:c r="C132" s="6"/>
      <x:c r="D132" s="6"/>
      <x:c r="E132" s="6"/>
    </x:row>
    <x:row r="133">
      <x:c r="B133" s="6"/>
      <x:c r="C133" s="6"/>
      <x:c r="D133" s="6"/>
      <x:c r="E133" s="6"/>
    </x:row>
    <x:row r="134">
      <x:c r="B134" s="6"/>
      <x:c r="C134" s="6"/>
      <x:c r="D134" s="6"/>
      <x:c r="E134" s="6"/>
    </x:row>
    <x:row r="135">
      <x:c r="B135" s="6"/>
      <x:c r="C135" s="6"/>
      <x:c r="D135" s="6"/>
      <x:c r="E135" s="6"/>
    </x:row>
    <x:row r="136">
      <x:c r="B136" s="6"/>
      <x:c r="C136" s="6"/>
      <x:c r="D136" s="6"/>
      <x:c r="E136" s="6"/>
    </x:row>
    <x:row r="137">
      <x:c r="B137" s="6"/>
      <x:c r="C137" s="6"/>
      <x:c r="D137" s="6"/>
      <x:c r="E137" s="6"/>
    </x:row>
    <x:row r="138">
      <x:c r="B138" s="6"/>
      <x:c r="C138" s="6"/>
      <x:c r="D138" s="6"/>
      <x:c r="E138" s="6"/>
    </x:row>
    <x:row r="139">
      <x:c r="B139" s="6"/>
      <x:c r="C139" s="6"/>
      <x:c r="D139" s="6"/>
      <x:c r="E139" s="6"/>
    </x:row>
    <x:row r="140">
      <x:c r="B140" s="6"/>
      <x:c r="C140" s="6"/>
      <x:c r="D140" s="6"/>
      <x:c r="E140" s="6"/>
    </x:row>
    <x:row r="141">
      <x:c r="B141" s="6"/>
      <x:c r="C141" s="6"/>
      <x:c r="D141" s="6"/>
      <x:c r="E141" s="6"/>
    </x:row>
    <x:row r="142">
      <x:c r="B142" s="6"/>
      <x:c r="C142" s="6"/>
      <x:c r="D142" s="6"/>
      <x:c r="E142" s="6"/>
    </x:row>
    <x:row r="143">
      <x:c r="B143" s="6"/>
      <x:c r="C143" s="6"/>
      <x:c r="D143" s="6"/>
      <x:c r="E143" s="6"/>
    </x:row>
    <x:row r="144">
      <x:c r="B144" s="6"/>
      <x:c r="C144" s="6"/>
      <x:c r="D144" s="6"/>
      <x:c r="E144" s="6"/>
    </x:row>
    <x:row r="145">
      <x:c r="B145" s="6"/>
      <x:c r="C145" s="6"/>
      <x:c r="D145" s="6"/>
      <x:c r="E145" s="6"/>
    </x:row>
    <x:row r="146">
      <x:c r="B146" s="6"/>
      <x:c r="C146" s="6"/>
      <x:c r="D146" s="6"/>
      <x:c r="E146" s="6"/>
    </x:row>
    <x:row r="147">
      <x:c r="B147" s="6"/>
      <x:c r="C147" s="6"/>
      <x:c r="D147" s="6"/>
      <x:c r="E147" s="6"/>
    </x:row>
    <x:row r="148">
      <x:c r="B148" s="6"/>
      <x:c r="C148" s="6"/>
      <x:c r="D148" s="6"/>
      <x:c r="E148" s="6"/>
    </x:row>
    <x:row r="149">
      <x:c r="B149" s="6"/>
      <x:c r="C149" s="6"/>
      <x:c r="D149" s="6"/>
      <x:c r="E149" s="6"/>
    </x:row>
    <x:row r="150">
      <x:c r="B150" s="6"/>
      <x:c r="C150" s="6"/>
      <x:c r="D150" s="6"/>
      <x:c r="E150" s="6"/>
    </x:row>
    <x:row r="151">
      <x:c r="B151" s="6"/>
      <x:c r="C151" s="6"/>
      <x:c r="D151" s="6"/>
      <x:c r="E151" s="6"/>
    </x:row>
    <x:row r="152">
      <x:c r="B152" s="6"/>
      <x:c r="C152" s="6"/>
      <x:c r="D152" s="6"/>
      <x:c r="E152" s="6"/>
    </x:row>
    <x:row r="153">
      <x:c r="B153" s="6"/>
      <x:c r="C153" s="6"/>
      <x:c r="D153" s="6"/>
      <x:c r="E153" s="6"/>
    </x:row>
    <x:row r="154">
      <x:c r="B154" s="6"/>
      <x:c r="C154" s="6"/>
      <x:c r="D154" s="6"/>
      <x:c r="E154" s="6"/>
    </x:row>
    <x:row r="155">
      <x:c r="B155" s="6"/>
      <x:c r="C155" s="6"/>
      <x:c r="D155" s="6"/>
      <x:c r="E155" s="6"/>
    </x:row>
    <x:row r="156">
      <x:c r="B156" s="6"/>
      <x:c r="C156" s="6"/>
      <x:c r="D156" s="6"/>
      <x:c r="E156" s="6"/>
    </x:row>
    <x:row r="157">
      <x:c r="B157" s="6"/>
      <x:c r="C157" s="6"/>
      <x:c r="D157" s="6"/>
      <x:c r="E157" s="6"/>
    </x:row>
    <x:row r="158">
      <x:c r="B158" s="6"/>
      <x:c r="C158" s="6"/>
      <x:c r="D158" s="6"/>
      <x:c r="E158" s="6"/>
    </x:row>
    <x:row r="159">
      <x:c r="B159" s="6"/>
      <x:c r="C159" s="6"/>
      <x:c r="D159" s="6"/>
      <x:c r="E159" s="6"/>
    </x:row>
    <x:row r="160">
      <x:c r="B160" s="6"/>
      <x:c r="C160" s="6"/>
      <x:c r="D160" s="6"/>
      <x:c r="E160" s="6"/>
    </x:row>
    <x:row r="161">
      <x:c r="B161" s="6"/>
      <x:c r="C161" s="6"/>
      <x:c r="D161" s="6"/>
      <x:c r="E161" s="6"/>
    </x:row>
    <x:row r="162">
      <x:c r="B162" s="6"/>
      <x:c r="C162" s="6"/>
      <x:c r="D162" s="6"/>
      <x:c r="E162" s="6"/>
    </x:row>
    <x:row r="163">
      <x:c r="B163" s="6"/>
      <x:c r="C163" s="6"/>
      <x:c r="D163" s="6"/>
      <x:c r="E163" s="6"/>
    </x:row>
    <x:row r="164">
      <x:c r="B164" s="6"/>
      <x:c r="C164" s="6"/>
      <x:c r="D164" s="6"/>
      <x:c r="E164" s="6"/>
    </x:row>
    <x:row r="165">
      <x:c r="B165" s="6"/>
      <x:c r="C165" s="6"/>
      <x:c r="D165" s="6"/>
      <x:c r="E165" s="6"/>
    </x:row>
    <x:row r="166">
      <x:c r="B166" s="6"/>
      <x:c r="C166" s="6"/>
      <x:c r="D166" s="6"/>
      <x:c r="E166" s="6"/>
    </x:row>
    <x:row r="167">
      <x:c r="B167" s="6"/>
      <x:c r="C167" s="6"/>
      <x:c r="D167" s="6"/>
      <x:c r="E167" s="6"/>
    </x:row>
    <x:row r="168">
      <x:c r="B168" s="6"/>
      <x:c r="C168" s="6"/>
      <x:c r="D168" s="6"/>
      <x:c r="E168" s="6"/>
    </x:row>
    <x:row r="169">
      <x:c r="B169" s="6"/>
      <x:c r="C169" s="6"/>
      <x:c r="D169" s="6"/>
      <x:c r="E169" s="6"/>
    </x:row>
    <x:row r="170">
      <x:c r="B170" s="6"/>
      <x:c r="C170" s="6"/>
      <x:c r="D170" s="6"/>
      <x:c r="E170" s="6"/>
    </x:row>
    <x:row r="171">
      <x:c r="B171" s="6"/>
      <x:c r="C171" s="6"/>
      <x:c r="D171" s="6"/>
      <x:c r="E171" s="6"/>
    </x:row>
    <x:row r="172">
      <x:c r="B172" s="6"/>
      <x:c r="C172" s="6"/>
      <x:c r="D172" s="6"/>
      <x:c r="E172" s="6"/>
    </x:row>
    <x:row r="173">
      <x:c r="B173" s="6"/>
      <x:c r="C173" s="6"/>
      <x:c r="D173" s="6"/>
      <x:c r="E173" s="6"/>
    </x:row>
    <x:row r="174">
      <x:c r="B174" s="6"/>
      <x:c r="C174" s="6"/>
      <x:c r="D174" s="6"/>
      <x:c r="E174" s="6"/>
    </x:row>
    <x:row r="175">
      <x:c r="B175" s="6"/>
      <x:c r="C175" s="6"/>
      <x:c r="D175" s="6"/>
      <x:c r="E175" s="6"/>
    </x:row>
    <x:row r="176">
      <x:c r="B176" s="6"/>
      <x:c r="C176" s="6"/>
      <x:c r="D176" s="6"/>
      <x:c r="E176" s="6"/>
    </x:row>
    <x:row r="177">
      <x:c r="B177" s="6"/>
      <x:c r="C177" s="6"/>
      <x:c r="D177" s="6"/>
      <x:c r="E177" s="6"/>
    </x:row>
    <x:row r="178">
      <x:c r="B178" s="6"/>
      <x:c r="C178" s="6"/>
      <x:c r="D178" s="6"/>
      <x:c r="E178" s="6"/>
    </x:row>
    <x:row r="179">
      <x:c r="B179" s="6"/>
      <x:c r="C179" s="6"/>
      <x:c r="D179" s="6"/>
      <x:c r="E179" s="6"/>
    </x:row>
    <x:row r="180">
      <x:c r="B180" s="6"/>
      <x:c r="C180" s="6"/>
      <x:c r="D180" s="6"/>
      <x:c r="E180" s="6"/>
    </x:row>
    <x:row r="181">
      <x:c r="B181" s="6"/>
      <x:c r="C181" s="6"/>
      <x:c r="D181" s="6"/>
      <x:c r="E181" s="6"/>
    </x:row>
    <x:row r="182">
      <x:c r="B182" s="6"/>
      <x:c r="C182" s="6"/>
      <x:c r="D182" s="6"/>
      <x:c r="E182" s="6"/>
    </x:row>
    <x:row r="183">
      <x:c r="B183" s="6"/>
      <x:c r="C183" s="6"/>
      <x:c r="D183" s="6"/>
      <x:c r="E183" s="6"/>
    </x:row>
    <x:row r="184">
      <x:c r="B184" s="6"/>
      <x:c r="C184" s="6"/>
      <x:c r="D184" s="6"/>
      <x:c r="E184" s="6"/>
    </x:row>
    <x:row r="185">
      <x:c r="B185" s="6"/>
      <x:c r="C185" s="6"/>
      <x:c r="D185" s="6"/>
      <x:c r="E185" s="6"/>
    </x:row>
    <x:row r="186">
      <x:c r="B186" s="6"/>
      <x:c r="C186" s="6"/>
      <x:c r="D186" s="6"/>
      <x:c r="E186" s="6"/>
    </x:row>
    <x:row r="187">
      <x:c r="B187" s="6"/>
      <x:c r="C187" s="6"/>
      <x:c r="D187" s="6"/>
      <x:c r="E187" s="6"/>
    </x:row>
    <x:row r="188">
      <x:c r="B188" s="6"/>
      <x:c r="C188" s="6"/>
      <x:c r="D188" s="6"/>
      <x:c r="E188" s="6"/>
    </x:row>
    <x:row r="189">
      <x:c r="B189" s="6"/>
      <x:c r="C189" s="6"/>
      <x:c r="D189" s="6"/>
      <x:c r="E189" s="6"/>
    </x:row>
    <x:row r="190">
      <x:c r="B190" s="6"/>
      <x:c r="C190" s="6"/>
      <x:c r="D190" s="6"/>
      <x:c r="E190" s="6"/>
    </x:row>
    <x:row r="191">
      <x:c r="B191" s="6"/>
      <x:c r="C191" s="6"/>
      <x:c r="D191" s="6"/>
      <x:c r="E191" s="6"/>
    </x:row>
    <x:row r="192">
      <x:c r="B192" s="6"/>
      <x:c r="C192" s="6"/>
      <x:c r="D192" s="6"/>
      <x:c r="E192" s="6"/>
    </x:row>
    <x:row r="193">
      <x:c r="B193" s="6"/>
      <x:c r="C193" s="6"/>
      <x:c r="D193" s="6"/>
      <x:c r="E193" s="6"/>
    </x:row>
    <x:row r="194">
      <x:c r="B194" s="6"/>
      <x:c r="C194" s="6"/>
      <x:c r="D194" s="6"/>
      <x:c r="E194" s="6"/>
    </x:row>
    <x:row r="195">
      <x:c r="B195" s="6"/>
      <x:c r="C195" s="6"/>
      <x:c r="D195" s="6"/>
      <x:c r="E195" s="6"/>
    </x:row>
    <x:row r="196">
      <x:c r="B196" s="6"/>
      <x:c r="C196" s="6"/>
      <x:c r="D196" s="6"/>
      <x:c r="E196" s="6"/>
    </x:row>
    <x:row r="197">
      <x:c r="B197" s="6"/>
      <x:c r="C197" s="6"/>
      <x:c r="D197" s="6"/>
      <x:c r="E197" s="6"/>
    </x:row>
    <x:row r="198">
      <x:c r="B198" s="6"/>
      <x:c r="C198" s="6"/>
      <x:c r="D198" s="6"/>
      <x:c r="E198" s="6"/>
    </x:row>
    <x:row r="199">
      <x:c r="B199" s="6"/>
      <x:c r="C199" s="6"/>
      <x:c r="D199" s="6"/>
      <x:c r="E199" s="6"/>
    </x:row>
    <x:row r="200">
      <x:c r="B200" s="6"/>
      <x:c r="C200" s="6"/>
      <x:c r="D200" s="6"/>
      <x:c r="E200" s="6"/>
    </x:row>
    <x:row r="201">
      <x:c r="B201" s="6"/>
      <x:c r="C201" s="6"/>
      <x:c r="D201" s="6"/>
      <x:c r="E201" s="6"/>
    </x:row>
    <x:row r="202">
      <x:c r="B202" s="6"/>
      <x:c r="C202" s="6"/>
      <x:c r="D202" s="6"/>
      <x:c r="E202" s="6"/>
    </x:row>
    <x:row r="203">
      <x:c r="B203" s="6"/>
      <x:c r="C203" s="6"/>
      <x:c r="D203" s="6"/>
      <x:c r="E203" s="6"/>
    </x:row>
    <x:row r="204">
      <x:c r="B204" s="6"/>
      <x:c r="C204" s="6"/>
      <x:c r="D204" s="6"/>
      <x:c r="E204" s="6"/>
    </x:row>
    <x:row r="205">
      <x:c r="B205" s="6"/>
      <x:c r="C205" s="6"/>
      <x:c r="D205" s="6"/>
      <x:c r="E205" s="6"/>
    </x:row>
    <x:row r="206">
      <x:c r="B206" s="6"/>
      <x:c r="C206" s="6"/>
      <x:c r="D206" s="6"/>
      <x:c r="E206" s="6"/>
    </x:row>
    <x:row r="207">
      <x:c r="B207" s="6"/>
      <x:c r="C207" s="6"/>
      <x:c r="D207" s="6"/>
      <x:c r="E207" s="6"/>
    </x:row>
    <x:row r="208">
      <x:c r="B208" s="6"/>
      <x:c r="C208" s="6"/>
      <x:c r="D208" s="6"/>
      <x:c r="E208" s="6"/>
    </x:row>
    <x:row r="209">
      <x:c r="B209" s="6"/>
      <x:c r="C209" s="6"/>
      <x:c r="D209" s="6"/>
      <x:c r="E209" s="6"/>
    </x:row>
    <x:row r="210">
      <x:c r="B210" s="6"/>
      <x:c r="C210" s="6"/>
      <x:c r="D210" s="6"/>
      <x:c r="E210" s="6"/>
    </x:row>
    <x:row r="211">
      <x:c r="B211" s="6"/>
      <x:c r="C211" s="6"/>
      <x:c r="D211" s="6"/>
      <x:c r="E211" s="6"/>
    </x:row>
    <x:row r="212">
      <x:c r="B212" s="6"/>
      <x:c r="C212" s="6"/>
      <x:c r="D212" s="6"/>
      <x:c r="E212" s="6"/>
    </x:row>
    <x:row r="213">
      <x:c r="B213" s="6"/>
      <x:c r="C213" s="6"/>
      <x:c r="D213" s="6"/>
      <x:c r="E213" s="6"/>
    </x:row>
    <x:row r="214">
      <x:c r="B214" s="6"/>
      <x:c r="C214" s="6"/>
      <x:c r="D214" s="6"/>
      <x:c r="E214" s="6"/>
    </x:row>
    <x:row r="215">
      <x:c r="B215" s="6"/>
      <x:c r="C215" s="6"/>
      <x:c r="D215" s="6"/>
      <x:c r="E215" s="6"/>
    </x:row>
    <x:row r="216">
      <x:c r="B216" s="6"/>
      <x:c r="C216" s="6"/>
      <x:c r="D216" s="6"/>
      <x:c r="E216" s="6"/>
    </x:row>
    <x:row r="217">
      <x:c r="B217" s="6"/>
      <x:c r="C217" s="6"/>
      <x:c r="D217" s="6"/>
      <x:c r="E217" s="6"/>
    </x:row>
    <x:row r="218">
      <x:c r="B218" s="6"/>
      <x:c r="C218" s="6"/>
      <x:c r="D218" s="6"/>
      <x:c r="E218" s="6"/>
    </x:row>
    <x:row r="219">
      <x:c r="B219" s="6"/>
      <x:c r="C219" s="6"/>
      <x:c r="D219" s="6"/>
      <x:c r="E219" s="6"/>
    </x:row>
    <x:row r="220">
      <x:c r="B220" s="6"/>
      <x:c r="C220" s="6"/>
      <x:c r="D220" s="6"/>
      <x:c r="E220" s="6"/>
    </x:row>
    <x:row r="221">
      <x:c r="B221" s="6"/>
      <x:c r="C221" s="6"/>
      <x:c r="D221" s="6"/>
      <x:c r="E221" s="6"/>
    </x:row>
    <x:row r="222">
      <x:c r="B222" s="6"/>
      <x:c r="C222" s="6"/>
      <x:c r="D222" s="6"/>
      <x:c r="E222" s="6"/>
    </x:row>
    <x:row r="223">
      <x:c r="B223" s="6"/>
      <x:c r="C223" s="6"/>
      <x:c r="D223" s="6"/>
      <x:c r="E223" s="6"/>
    </x:row>
    <x:row r="224">
      <x:c r="B224" s="6"/>
      <x:c r="C224" s="6"/>
      <x:c r="D224" s="6"/>
      <x:c r="E224" s="6"/>
    </x:row>
    <x:row r="225">
      <x:c r="B225" s="6"/>
      <x:c r="C225" s="6"/>
      <x:c r="D225" s="6"/>
      <x:c r="E225" s="6"/>
    </x:row>
    <x:row r="226">
      <x:c r="B226" s="6"/>
      <x:c r="C226" s="6"/>
      <x:c r="D226" s="6"/>
      <x:c r="E226" s="6"/>
    </x:row>
    <x:row r="227">
      <x:c r="B227" s="6"/>
      <x:c r="C227" s="6"/>
      <x:c r="D227" s="6"/>
      <x:c r="E227" s="6"/>
    </x:row>
    <x:row r="228">
      <x:c r="B228" s="6"/>
      <x:c r="C228" s="6"/>
      <x:c r="D228" s="6"/>
      <x:c r="E228" s="6"/>
    </x:row>
    <x:row r="229">
      <x:c r="B229" s="6"/>
      <x:c r="C229" s="6"/>
      <x:c r="D229" s="6"/>
      <x:c r="E229" s="6"/>
    </x:row>
    <x:row r="230">
      <x:c r="B230" s="6"/>
      <x:c r="C230" s="6"/>
      <x:c r="D230" s="6"/>
      <x:c r="E230" s="6"/>
    </x:row>
    <x:row r="231">
      <x:c r="B231" s="6"/>
      <x:c r="C231" s="6"/>
      <x:c r="D231" s="6"/>
      <x:c r="E231" s="6"/>
    </x:row>
    <x:row r="232">
      <x:c r="B232" s="6"/>
      <x:c r="C232" s="6"/>
      <x:c r="D232" s="6"/>
      <x:c r="E232" s="6"/>
    </x:row>
    <x:row r="233">
      <x:c r="B233" s="6"/>
      <x:c r="C233" s="6"/>
      <x:c r="D233" s="6"/>
      <x:c r="E233" s="6"/>
    </x:row>
    <x:row r="234">
      <x:c r="B234" s="6"/>
      <x:c r="C234" s="6"/>
      <x:c r="D234" s="6"/>
      <x:c r="E234" s="6"/>
    </x:row>
    <x:row r="235">
      <x:c r="B235" s="6"/>
      <x:c r="C235" s="6"/>
      <x:c r="D235" s="6"/>
      <x:c r="E235" s="6"/>
    </x:row>
    <x:row r="236">
      <x:c r="B236" s="6"/>
      <x:c r="C236" s="6"/>
      <x:c r="D236" s="6"/>
      <x:c r="E236" s="6"/>
    </x:row>
    <x:row r="237">
      <x:c r="B237" s="6"/>
      <x:c r="C237" s="6"/>
      <x:c r="D237" s="6"/>
      <x:c r="E237" s="6"/>
    </x:row>
    <x:row r="238">
      <x:c r="B238" s="6"/>
      <x:c r="C238" s="6"/>
      <x:c r="D238" s="6"/>
      <x:c r="E238" s="6"/>
    </x:row>
    <x:row r="239">
      <x:c r="B239" s="6"/>
      <x:c r="C239" s="6"/>
      <x:c r="D239" s="6"/>
      <x:c r="E239" s="6"/>
    </x:row>
    <x:row r="240">
      <x:c r="B240" s="6"/>
      <x:c r="C240" s="6"/>
      <x:c r="D240" s="6"/>
      <x:c r="E240" s="6"/>
    </x:row>
    <x:row r="241">
      <x:c r="B241" s="6"/>
      <x:c r="C241" s="6"/>
      <x:c r="D241" s="6"/>
      <x:c r="E241" s="6"/>
    </x:row>
    <x:row r="242">
      <x:c r="B242" s="6"/>
      <x:c r="C242" s="6"/>
      <x:c r="D242" s="6"/>
      <x:c r="E242" s="6"/>
    </x:row>
    <x:row r="243">
      <x:c r="B243" s="6"/>
      <x:c r="C243" s="6"/>
      <x:c r="D243" s="6"/>
      <x:c r="E243" s="6"/>
    </x:row>
    <x:row r="244">
      <x:c r="B244" s="6"/>
      <x:c r="C244" s="6"/>
      <x:c r="D244" s="6"/>
      <x:c r="E244" s="6"/>
    </x:row>
    <x:row r="245">
      <x:c r="B245" s="6"/>
      <x:c r="C245" s="6"/>
      <x:c r="D245" s="6"/>
      <x:c r="E245" s="6"/>
    </x:row>
    <x:row r="246">
      <x:c r="B246" s="6"/>
      <x:c r="C246" s="6"/>
      <x:c r="D246" s="6"/>
      <x:c r="E246" s="6"/>
    </x:row>
    <x:row r="247">
      <x:c r="B247" s="6"/>
      <x:c r="C247" s="6"/>
      <x:c r="D247" s="6"/>
      <x:c r="E247" s="6"/>
    </x:row>
    <x:row r="248">
      <x:c r="B248" s="6"/>
      <x:c r="C248" s="6"/>
      <x:c r="D248" s="6"/>
      <x:c r="E248" s="6"/>
    </x:row>
    <x:row r="249">
      <x:c r="B249" s="6"/>
      <x:c r="C249" s="6"/>
      <x:c r="D249" s="6"/>
      <x:c r="E249" s="6"/>
    </x:row>
    <x:row r="250">
      <x:c r="B250" s="6"/>
      <x:c r="C250" s="6"/>
      <x:c r="D250" s="6"/>
      <x:c r="E250" s="6"/>
    </x:row>
    <x:row r="251">
      <x:c r="B251" s="6"/>
      <x:c r="C251" s="6"/>
      <x:c r="D251" s="6"/>
      <x:c r="E251" s="6"/>
    </x:row>
    <x:row r="252">
      <x:c r="B252" s="6"/>
      <x:c r="C252" s="6"/>
      <x:c r="D252" s="6"/>
      <x:c r="E252" s="6"/>
    </x:row>
    <x:row r="253">
      <x:c r="B253" s="6"/>
      <x:c r="C253" s="6"/>
      <x:c r="D253" s="6"/>
      <x:c r="E253" s="6"/>
    </x:row>
    <x:row r="254">
      <x:c r="B254" s="6"/>
      <x:c r="C254" s="6"/>
      <x:c r="D254" s="6"/>
      <x:c r="E254" s="6"/>
    </x:row>
    <x:row r="255">
      <x:c r="B255" s="6"/>
      <x:c r="C255" s="6"/>
      <x:c r="D255" s="6"/>
      <x:c r="E255" s="6"/>
    </x:row>
    <x:row r="256">
      <x:c r="B256" s="6"/>
      <x:c r="C256" s="6"/>
      <x:c r="D256" s="6"/>
      <x:c r="E256" s="6"/>
    </x:row>
    <x:row r="257">
      <x:c r="B257" s="6"/>
      <x:c r="C257" s="6"/>
      <x:c r="D257" s="6"/>
      <x:c r="E257" s="6"/>
    </x:row>
    <x:row r="258">
      <x:c r="B258" s="6"/>
      <x:c r="C258" s="6"/>
      <x:c r="D258" s="6"/>
      <x:c r="E258" s="6"/>
    </x:row>
    <x:row r="259">
      <x:c r="B259" s="6"/>
      <x:c r="C259" s="6"/>
      <x:c r="D259" s="6"/>
      <x:c r="E259" s="6"/>
    </x:row>
    <x:row r="260">
      <x:c r="B260" s="6"/>
      <x:c r="C260" s="6"/>
      <x:c r="D260" s="6"/>
      <x:c r="E260" s="6"/>
    </x:row>
    <x:row r="261">
      <x:c r="B261" s="6"/>
      <x:c r="C261" s="6"/>
      <x:c r="D261" s="6"/>
      <x:c r="E261" s="6"/>
    </x:row>
    <x:row r="262">
      <x:c r="B262" s="6"/>
      <x:c r="C262" s="6"/>
      <x:c r="D262" s="6"/>
      <x:c r="E262" s="6"/>
    </x:row>
    <x:row r="263">
      <x:c r="B263" s="6"/>
      <x:c r="C263" s="6"/>
      <x:c r="D263" s="6"/>
      <x:c r="E263" s="6"/>
    </x:row>
    <x:row r="264">
      <x:c r="B264" s="6"/>
      <x:c r="C264" s="6"/>
      <x:c r="D264" s="6"/>
      <x:c r="E264" s="6"/>
    </x:row>
    <x:row r="265">
      <x:c r="B265" s="6"/>
      <x:c r="C265" s="6"/>
      <x:c r="D265" s="6"/>
      <x:c r="E265" s="6"/>
    </x:row>
    <x:row r="266">
      <x:c r="B266" s="6"/>
      <x:c r="C266" s="6"/>
      <x:c r="D266" s="6"/>
      <x:c r="E266" s="6"/>
    </x:row>
    <x:row r="267">
      <x:c r="B267" s="6"/>
      <x:c r="C267" s="6"/>
      <x:c r="D267" s="6"/>
      <x:c r="E267" s="6"/>
    </x:row>
    <x:row r="268">
      <x:c r="B268" s="6"/>
      <x:c r="C268" s="6"/>
      <x:c r="D268" s="6"/>
      <x:c r="E268" s="6"/>
    </x:row>
    <x:row r="269">
      <x:c r="B269" s="6"/>
      <x:c r="C269" s="6"/>
      <x:c r="D269" s="6"/>
      <x:c r="E269" s="6"/>
    </x:row>
    <x:row r="270">
      <x:c r="B270" s="6"/>
      <x:c r="C270" s="6"/>
      <x:c r="D270" s="6"/>
      <x:c r="E270" s="6"/>
    </x:row>
    <x:row r="271">
      <x:c r="B271" s="6"/>
      <x:c r="C271" s="6"/>
      <x:c r="D271" s="6"/>
      <x:c r="E271" s="6"/>
    </x:row>
    <x:row r="272">
      <x:c r="B272" s="6"/>
      <x:c r="C272" s="6"/>
      <x:c r="D272" s="6"/>
      <x:c r="E272" s="6"/>
    </x:row>
    <x:row r="273">
      <x:c r="B273" s="6"/>
      <x:c r="C273" s="6"/>
      <x:c r="D273" s="6"/>
      <x:c r="E273" s="6"/>
    </x:row>
    <x:row r="274">
      <x:c r="B274" s="6"/>
      <x:c r="C274" s="6"/>
      <x:c r="D274" s="6"/>
      <x:c r="E274" s="6"/>
    </x:row>
    <x:row r="275">
      <x:c r="B275" s="6"/>
      <x:c r="C275" s="6"/>
      <x:c r="D275" s="6"/>
      <x:c r="E275" s="6"/>
    </x:row>
    <x:row r="276">
      <x:c r="B276" s="6"/>
      <x:c r="C276" s="6"/>
      <x:c r="D276" s="6"/>
      <x:c r="E276" s="6"/>
    </x:row>
    <x:row r="277">
      <x:c r="B277" s="6"/>
      <x:c r="C277" s="6"/>
      <x:c r="D277" s="6"/>
      <x:c r="E277" s="6"/>
    </x:row>
    <x:row r="278">
      <x:c r="B278" s="6"/>
      <x:c r="C278" s="6"/>
      <x:c r="D278" s="6"/>
      <x:c r="E278" s="6"/>
    </x:row>
    <x:row r="279">
      <x:c r="B279" s="6"/>
      <x:c r="C279" s="6"/>
      <x:c r="D279" s="6"/>
      <x:c r="E279" s="6"/>
    </x:row>
    <x:row r="280">
      <x:c r="B280" s="6"/>
      <x:c r="C280" s="6"/>
      <x:c r="D280" s="6"/>
      <x:c r="E280" s="6"/>
    </x:row>
    <x:row r="281">
      <x:c r="B281" s="6"/>
      <x:c r="C281" s="6"/>
      <x:c r="D281" s="6"/>
      <x:c r="E281" s="6"/>
    </x:row>
    <x:row r="282">
      <x:c r="B282" s="6"/>
      <x:c r="C282" s="6"/>
      <x:c r="D282" s="6"/>
      <x:c r="E282" s="6"/>
    </x:row>
    <x:row r="283">
      <x:c r="B283" s="6"/>
      <x:c r="C283" s="6"/>
      <x:c r="D283" s="6"/>
      <x:c r="E283" s="6"/>
    </x:row>
    <x:row r="284">
      <x:c r="B284" s="6"/>
      <x:c r="C284" s="6"/>
      <x:c r="D284" s="6"/>
      <x:c r="E284" s="6"/>
    </x:row>
    <x:row r="285">
      <x:c r="B285" s="6"/>
      <x:c r="C285" s="6"/>
      <x:c r="D285" s="6"/>
      <x:c r="E285" s="6"/>
    </x:row>
    <x:row r="286">
      <x:c r="B286" s="6"/>
      <x:c r="C286" s="6"/>
      <x:c r="D286" s="6"/>
      <x:c r="E286" s="6"/>
    </x:row>
    <x:row r="287">
      <x:c r="B287" s="6"/>
      <x:c r="C287" s="6"/>
      <x:c r="D287" s="6"/>
      <x:c r="E287" s="6"/>
    </x:row>
    <x:row r="288">
      <x:c r="B288" s="6"/>
      <x:c r="C288" s="6"/>
      <x:c r="D288" s="6"/>
      <x:c r="E288" s="6"/>
    </x:row>
    <x:row r="289">
      <x:c r="B289" s="6"/>
      <x:c r="C289" s="6"/>
      <x:c r="D289" s="6"/>
      <x:c r="E289" s="6"/>
    </x:row>
    <x:row r="290">
      <x:c r="B290" s="6"/>
      <x:c r="C290" s="6"/>
      <x:c r="D290" s="6"/>
      <x:c r="E290" s="6"/>
    </x:row>
    <x:row r="291">
      <x:c r="B291" s="6"/>
      <x:c r="C291" s="6"/>
      <x:c r="D291" s="6"/>
      <x:c r="E291" s="6"/>
    </x:row>
    <x:row r="292">
      <x:c r="B292" s="6"/>
      <x:c r="C292" s="6"/>
      <x:c r="D292" s="6"/>
      <x:c r="E292" s="6"/>
    </x:row>
    <x:row r="293">
      <x:c r="B293" s="6"/>
      <x:c r="C293" s="6"/>
      <x:c r="D293" s="6"/>
      <x:c r="E293" s="6"/>
    </x:row>
    <x:row r="294">
      <x:c r="B294" s="6"/>
      <x:c r="C294" s="6"/>
      <x:c r="D294" s="6"/>
      <x:c r="E294" s="6"/>
    </x:row>
    <x:row r="295">
      <x:c r="B295" s="6"/>
      <x:c r="C295" s="6"/>
      <x:c r="D295" s="6"/>
      <x:c r="E295" s="6"/>
    </x:row>
    <x:row r="296">
      <x:c r="B296" s="6"/>
      <x:c r="C296" s="6"/>
      <x:c r="D296" s="6"/>
      <x:c r="E296" s="6"/>
    </x:row>
    <x:row r="297">
      <x:c r="B297" s="6"/>
      <x:c r="C297" s="6"/>
      <x:c r="D297" s="6"/>
      <x:c r="E297" s="6"/>
    </x:row>
    <x:row r="298">
      <x:c r="B298" s="6"/>
      <x:c r="C298" s="6"/>
      <x:c r="D298" s="6"/>
      <x:c r="E298" s="6"/>
    </x:row>
    <x:row r="299">
      <x:c r="B299" s="6"/>
      <x:c r="C299" s="6"/>
      <x:c r="D299" s="6"/>
      <x:c r="E299" s="6"/>
    </x:row>
    <x:row r="300">
      <x:c r="B300" s="6"/>
      <x:c r="C300" s="6"/>
      <x:c r="D300" s="6"/>
      <x:c r="E300" s="6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edc12e07d604770"/>
  </x:tableParts>
</x:worksheet>
</file>

<file path=xl/worksheets/sheet9.xml><?xml version="1.0" encoding="utf-8"?>
<x:worksheet xmlns:x="http://schemas.openxmlformats.org/spreadsheetml/2006/main">
  <x:sheetFormatPr baseColWidth="10" defaultColWidth="9" defaultRowHeight="14.25"/>
  <x:cols>
    <x:col min="1" max="1" width="20" customWidth="1"/>
    <x:col min="2" max="4" width="24" customWidth="1"/>
    <x:col min="5" max="5" width="52" customWidth="1"/>
  </x:cols>
  <x:sheetData>
    <x:row r="1" ht="27.950000762939453" customHeight="1">
      <x:c r="A1" s="13" t="s">
        <x:v>107</x:v>
      </x:c>
      <x:c r="B1" s="13"/>
      <x:c r="C1" s="13"/>
      <x:c r="D1" s="13"/>
      <x:c r="E1" s="13"/>
    </x:row>
    <x:row r="2" ht="42" customHeight="1">
      <x:c r="A2" s="14" t="s">
        <x:v>108</x:v>
      </x:c>
      <x:c r="B2" s="14"/>
      <x:c r="C2" s="14"/>
      <x:c r="D2" s="14"/>
      <x:c r="E2" s="14"/>
    </x:row>
    <x:row r="3" ht="15">
      <x:c r="A3" s="1" t="s">
        <x:v>7</x:v>
      </x:c>
      <x:c r="B3" s="1" t="s">
        <x:v>109</x:v>
      </x:c>
      <x:c r="C3" s="1" t="s">
        <x:v>110</x:v>
      </x:c>
      <x:c r="D3" s="1" t="s">
        <x:v>101</x:v>
      </x:c>
      <x:c r="E3" s="1" t="s">
        <x:v>11</x:v>
      </x:c>
    </x:row>
    <x:row r="4" ht="33.95000076293945" customHeight="1">
      <x:c r="A4" s="3" t="s">
        <x:v>14</x:v>
      </x:c>
      <x:c r="B4" s="5">
        <x:v>0.75</x:v>
      </x:c>
      <x:c r="C4" s="5">
        <x:v>0.94299999999999995</x:v>
      </x:c>
      <x:c r="D4" s="5" t="s">
        <x:v>111</x:v>
      </x:c>
      <x:c r="E4" s="5" t="s">
        <x:v>112</x:v>
      </x:c>
    </x:row>
    <x:row r="5" ht="33.95000076293945" customHeight="1">
      <x:c r="A5" s="3" t="s">
        <x:v>56</x:v>
      </x:c>
      <x:c r="B5" s="5">
        <x:v>0.18</x:v>
      </x:c>
      <x:c r="C5" s="5">
        <x:v>0.38600000000000001</x:v>
      </x:c>
      <x:c r="D5" s="5" t="s">
        <x:v>111</x:v>
      </x:c>
      <x:c r="E5" s="5" t="s">
        <x:v>113</x:v>
      </x:c>
    </x:row>
    <x:row r="6" ht="33.95000076293945" customHeight="1">
      <x:c r="A6" s="3" t="s">
        <x:v>114</x:v>
      </x:c>
      <x:c r="B6" s="5">
        <x:v>0.08</x:v>
      </x:c>
      <x:c r="C6" s="5">
        <x:v>0.73699999999999999</x:v>
      </x:c>
      <x:c r="D6" s="5" t="s">
        <x:v>111</x:v>
      </x:c>
      <x:c r="E6" s="5" t="str">
        <x:v>Emballage secondaire ; coût conservateur retenu 0,08 €/kg</x:v>
      </x:c>
    </x:row>
    <x:row r="7">
      <x:c r="B7" s="6"/>
      <x:c r="C7" s="6"/>
      <x:c r="D7" s="6"/>
      <x:c r="E7" s="6"/>
    </x:row>
    <x:row r="8">
      <x:c r="B8" s="6"/>
      <x:c r="C8" s="6"/>
      <x:c r="D8" s="6"/>
      <x:c r="E8" s="6"/>
    </x:row>
    <x:row r="9">
      <x:c r="B9" s="6"/>
      <x:c r="C9" s="6"/>
      <x:c r="D9" s="6"/>
      <x:c r="E9" s="6"/>
    </x:row>
    <x:row r="10">
      <x:c r="B10" s="6"/>
      <x:c r="C10" s="6"/>
      <x:c r="D10" s="6"/>
      <x:c r="E10" s="6"/>
    </x:row>
    <x:row r="11">
      <x:c r="B11" s="6"/>
      <x:c r="C11" s="6"/>
      <x:c r="D11" s="6"/>
      <x:c r="E11" s="6"/>
    </x:row>
    <x:row r="12">
      <x:c r="B12" s="6"/>
      <x:c r="C12" s="6"/>
      <x:c r="D12" s="6"/>
      <x:c r="E12" s="6"/>
    </x:row>
    <x:row r="13">
      <x:c r="B13" s="6"/>
      <x:c r="C13" s="6"/>
      <x:c r="D13" s="6"/>
      <x:c r="E13" s="6"/>
    </x:row>
    <x:row r="14">
      <x:c r="B14" s="6"/>
      <x:c r="C14" s="6"/>
      <x:c r="D14" s="6"/>
      <x:c r="E14" s="6"/>
    </x:row>
    <x:row r="15">
      <x:c r="B15" s="6"/>
      <x:c r="C15" s="6"/>
      <x:c r="D15" s="6"/>
      <x:c r="E15" s="6"/>
    </x:row>
    <x:row r="16">
      <x:c r="B16" s="6"/>
      <x:c r="C16" s="6"/>
      <x:c r="D16" s="6"/>
      <x:c r="E16" s="6"/>
    </x:row>
    <x:row r="17">
      <x:c r="B17" s="6"/>
      <x:c r="C17" s="6"/>
      <x:c r="D17" s="6"/>
      <x:c r="E17" s="6"/>
    </x:row>
    <x:row r="18">
      <x:c r="B18" s="6"/>
      <x:c r="C18" s="6"/>
      <x:c r="D18" s="6"/>
      <x:c r="E18" s="6"/>
    </x:row>
    <x:row r="19">
      <x:c r="B19" s="6"/>
      <x:c r="C19" s="6"/>
      <x:c r="D19" s="6"/>
      <x:c r="E19" s="6"/>
    </x:row>
    <x:row r="20">
      <x:c r="B20" s="6"/>
      <x:c r="C20" s="6"/>
      <x:c r="D20" s="6"/>
      <x:c r="E20" s="6"/>
    </x:row>
    <x:row r="21">
      <x:c r="B21" s="6"/>
      <x:c r="C21" s="6"/>
      <x:c r="D21" s="6"/>
      <x:c r="E21" s="6"/>
    </x:row>
    <x:row r="22">
      <x:c r="B22" s="6"/>
      <x:c r="C22" s="6"/>
      <x:c r="D22" s="6"/>
      <x:c r="E22" s="6"/>
    </x:row>
    <x:row r="23">
      <x:c r="B23" s="6"/>
      <x:c r="C23" s="6"/>
      <x:c r="D23" s="6"/>
      <x:c r="E23" s="6"/>
    </x:row>
    <x:row r="24">
      <x:c r="B24" s="6"/>
      <x:c r="C24" s="6"/>
      <x:c r="D24" s="6"/>
      <x:c r="E24" s="6"/>
    </x:row>
    <x:row r="25">
      <x:c r="B25" s="6"/>
      <x:c r="C25" s="6"/>
      <x:c r="D25" s="6"/>
      <x:c r="E25" s="6"/>
    </x:row>
    <x:row r="26">
      <x:c r="B26" s="6"/>
      <x:c r="C26" s="6"/>
      <x:c r="D26" s="6"/>
      <x:c r="E26" s="6"/>
    </x:row>
    <x:row r="27">
      <x:c r="B27" s="6"/>
      <x:c r="C27" s="6"/>
      <x:c r="D27" s="6"/>
      <x:c r="E27" s="6"/>
    </x:row>
    <x:row r="28">
      <x:c r="B28" s="6"/>
      <x:c r="C28" s="6"/>
      <x:c r="D28" s="6"/>
      <x:c r="E28" s="6"/>
    </x:row>
    <x:row r="29">
      <x:c r="B29" s="6"/>
      <x:c r="C29" s="6"/>
      <x:c r="D29" s="6"/>
      <x:c r="E29" s="6"/>
    </x:row>
    <x:row r="30">
      <x:c r="B30" s="6"/>
      <x:c r="C30" s="6"/>
      <x:c r="D30" s="6"/>
      <x:c r="E30" s="6"/>
    </x:row>
    <x:row r="31">
      <x:c r="B31" s="6"/>
      <x:c r="C31" s="6"/>
      <x:c r="D31" s="6"/>
      <x:c r="E31" s="6"/>
    </x:row>
    <x:row r="32">
      <x:c r="B32" s="6"/>
      <x:c r="C32" s="6"/>
      <x:c r="D32" s="6"/>
      <x:c r="E32" s="6"/>
    </x:row>
    <x:row r="33">
      <x:c r="B33" s="6"/>
      <x:c r="C33" s="6"/>
      <x:c r="D33" s="6"/>
      <x:c r="E33" s="6"/>
    </x:row>
    <x:row r="34">
      <x:c r="B34" s="6"/>
      <x:c r="C34" s="6"/>
      <x:c r="D34" s="6"/>
      <x:c r="E34" s="6"/>
    </x:row>
    <x:row r="35">
      <x:c r="B35" s="6"/>
      <x:c r="C35" s="6"/>
      <x:c r="D35" s="6"/>
      <x:c r="E35" s="6"/>
    </x:row>
    <x:row r="36">
      <x:c r="B36" s="6"/>
      <x:c r="C36" s="6"/>
      <x:c r="D36" s="6"/>
      <x:c r="E36" s="6"/>
    </x:row>
    <x:row r="37">
      <x:c r="B37" s="6"/>
      <x:c r="C37" s="6"/>
      <x:c r="D37" s="6"/>
      <x:c r="E37" s="6"/>
    </x:row>
    <x:row r="38">
      <x:c r="B38" s="6"/>
      <x:c r="C38" s="6"/>
      <x:c r="D38" s="6"/>
      <x:c r="E38" s="6"/>
    </x:row>
    <x:row r="39">
      <x:c r="B39" s="6"/>
      <x:c r="C39" s="6"/>
      <x:c r="D39" s="6"/>
      <x:c r="E39" s="6"/>
    </x:row>
    <x:row r="40">
      <x:c r="B40" s="6"/>
      <x:c r="C40" s="6"/>
      <x:c r="D40" s="6"/>
      <x:c r="E40" s="6"/>
    </x:row>
    <x:row r="41">
      <x:c r="B41" s="6"/>
      <x:c r="C41" s="6"/>
      <x:c r="D41" s="6"/>
      <x:c r="E41" s="6"/>
    </x:row>
    <x:row r="42">
      <x:c r="B42" s="6"/>
      <x:c r="C42" s="6"/>
      <x:c r="D42" s="6"/>
      <x:c r="E42" s="6"/>
    </x:row>
    <x:row r="43">
      <x:c r="B43" s="6"/>
      <x:c r="C43" s="6"/>
      <x:c r="D43" s="6"/>
      <x:c r="E43" s="6"/>
    </x:row>
    <x:row r="44">
      <x:c r="B44" s="6"/>
      <x:c r="C44" s="6"/>
      <x:c r="D44" s="6"/>
      <x:c r="E44" s="6"/>
    </x:row>
    <x:row r="45">
      <x:c r="B45" s="6"/>
      <x:c r="C45" s="6"/>
      <x:c r="D45" s="6"/>
      <x:c r="E45" s="6"/>
    </x:row>
    <x:row r="46">
      <x:c r="B46" s="6"/>
      <x:c r="C46" s="6"/>
      <x:c r="D46" s="6"/>
      <x:c r="E46" s="6"/>
    </x:row>
    <x:row r="47">
      <x:c r="B47" s="6"/>
      <x:c r="C47" s="6"/>
      <x:c r="D47" s="6"/>
      <x:c r="E47" s="6"/>
    </x:row>
    <x:row r="48">
      <x:c r="B48" s="6"/>
      <x:c r="C48" s="6"/>
      <x:c r="D48" s="6"/>
      <x:c r="E48" s="6"/>
    </x:row>
    <x:row r="49">
      <x:c r="B49" s="6"/>
      <x:c r="C49" s="6"/>
      <x:c r="D49" s="6"/>
      <x:c r="E49" s="6"/>
    </x:row>
    <x:row r="50">
      <x:c r="B50" s="6"/>
      <x:c r="C50" s="6"/>
      <x:c r="D50" s="6"/>
      <x:c r="E50" s="6"/>
    </x:row>
    <x:row r="51">
      <x:c r="B51" s="6"/>
      <x:c r="C51" s="6"/>
      <x:c r="D51" s="6"/>
      <x:c r="E51" s="6"/>
    </x:row>
    <x:row r="52">
      <x:c r="B52" s="6"/>
      <x:c r="C52" s="6"/>
      <x:c r="D52" s="6"/>
      <x:c r="E52" s="6"/>
    </x:row>
    <x:row r="53">
      <x:c r="B53" s="6"/>
      <x:c r="C53" s="6"/>
      <x:c r="D53" s="6"/>
      <x:c r="E53" s="6"/>
    </x:row>
    <x:row r="54">
      <x:c r="B54" s="6"/>
      <x:c r="C54" s="6"/>
      <x:c r="D54" s="6"/>
      <x:c r="E54" s="6"/>
    </x:row>
    <x:row r="55">
      <x:c r="B55" s="6"/>
      <x:c r="C55" s="6"/>
      <x:c r="D55" s="6"/>
      <x:c r="E55" s="6"/>
    </x:row>
    <x:row r="56">
      <x:c r="B56" s="6"/>
      <x:c r="C56" s="6"/>
      <x:c r="D56" s="6"/>
      <x:c r="E56" s="6"/>
    </x:row>
    <x:row r="57">
      <x:c r="B57" s="6"/>
      <x:c r="C57" s="6"/>
      <x:c r="D57" s="6"/>
      <x:c r="E57" s="6"/>
    </x:row>
    <x:row r="58">
      <x:c r="B58" s="6"/>
      <x:c r="C58" s="6"/>
      <x:c r="D58" s="6"/>
      <x:c r="E58" s="6"/>
    </x:row>
    <x:row r="59">
      <x:c r="B59" s="6"/>
      <x:c r="C59" s="6"/>
      <x:c r="D59" s="6"/>
      <x:c r="E59" s="6"/>
    </x:row>
    <x:row r="60">
      <x:c r="B60" s="6"/>
      <x:c r="C60" s="6"/>
      <x:c r="D60" s="6"/>
      <x:c r="E60" s="6"/>
    </x:row>
    <x:row r="61">
      <x:c r="B61" s="6"/>
      <x:c r="C61" s="6"/>
      <x:c r="D61" s="6"/>
      <x:c r="E61" s="6"/>
    </x:row>
    <x:row r="62">
      <x:c r="B62" s="6"/>
      <x:c r="C62" s="6"/>
      <x:c r="D62" s="6"/>
      <x:c r="E62" s="6"/>
    </x:row>
    <x:row r="63">
      <x:c r="B63" s="6"/>
      <x:c r="C63" s="6"/>
      <x:c r="D63" s="6"/>
      <x:c r="E63" s="6"/>
    </x:row>
    <x:row r="64">
      <x:c r="B64" s="6"/>
      <x:c r="C64" s="6"/>
      <x:c r="D64" s="6"/>
      <x:c r="E64" s="6"/>
    </x:row>
    <x:row r="65">
      <x:c r="B65" s="6"/>
      <x:c r="C65" s="6"/>
      <x:c r="D65" s="6"/>
      <x:c r="E65" s="6"/>
    </x:row>
    <x:row r="66">
      <x:c r="B66" s="6"/>
      <x:c r="C66" s="6"/>
      <x:c r="D66" s="6"/>
      <x:c r="E66" s="6"/>
    </x:row>
    <x:row r="67">
      <x:c r="B67" s="6"/>
      <x:c r="C67" s="6"/>
      <x:c r="D67" s="6"/>
      <x:c r="E67" s="6"/>
    </x:row>
    <x:row r="68">
      <x:c r="B68" s="6"/>
      <x:c r="C68" s="6"/>
      <x:c r="D68" s="6"/>
      <x:c r="E68" s="6"/>
    </x:row>
    <x:row r="69">
      <x:c r="B69" s="6"/>
      <x:c r="C69" s="6"/>
      <x:c r="D69" s="6"/>
      <x:c r="E69" s="6"/>
    </x:row>
    <x:row r="70">
      <x:c r="B70" s="6"/>
      <x:c r="C70" s="6"/>
      <x:c r="D70" s="6"/>
      <x:c r="E70" s="6"/>
    </x:row>
    <x:row r="71">
      <x:c r="B71" s="6"/>
      <x:c r="C71" s="6"/>
      <x:c r="D71" s="6"/>
      <x:c r="E71" s="6"/>
    </x:row>
    <x:row r="72">
      <x:c r="B72" s="6"/>
      <x:c r="C72" s="6"/>
      <x:c r="D72" s="6"/>
      <x:c r="E72" s="6"/>
    </x:row>
    <x:row r="73">
      <x:c r="B73" s="6"/>
      <x:c r="C73" s="6"/>
      <x:c r="D73" s="6"/>
      <x:c r="E73" s="6"/>
    </x:row>
    <x:row r="74">
      <x:c r="B74" s="6"/>
      <x:c r="C74" s="6"/>
      <x:c r="D74" s="6"/>
      <x:c r="E74" s="6"/>
    </x:row>
    <x:row r="75">
      <x:c r="B75" s="6"/>
      <x:c r="C75" s="6"/>
      <x:c r="D75" s="6"/>
      <x:c r="E75" s="6"/>
    </x:row>
    <x:row r="76">
      <x:c r="B76" s="6"/>
      <x:c r="C76" s="6"/>
      <x:c r="D76" s="6"/>
      <x:c r="E76" s="6"/>
    </x:row>
    <x:row r="77">
      <x:c r="B77" s="6"/>
      <x:c r="C77" s="6"/>
      <x:c r="D77" s="6"/>
      <x:c r="E77" s="6"/>
    </x:row>
    <x:row r="78">
      <x:c r="B78" s="6"/>
      <x:c r="C78" s="6"/>
      <x:c r="D78" s="6"/>
      <x:c r="E78" s="6"/>
    </x:row>
    <x:row r="79">
      <x:c r="B79" s="6"/>
      <x:c r="C79" s="6"/>
      <x:c r="D79" s="6"/>
      <x:c r="E79" s="6"/>
    </x:row>
    <x:row r="80">
      <x:c r="B80" s="6"/>
      <x:c r="C80" s="6"/>
      <x:c r="D80" s="6"/>
      <x:c r="E80" s="6"/>
    </x:row>
    <x:row r="81">
      <x:c r="B81" s="6"/>
      <x:c r="C81" s="6"/>
      <x:c r="D81" s="6"/>
      <x:c r="E81" s="6"/>
    </x:row>
    <x:row r="82">
      <x:c r="B82" s="6"/>
      <x:c r="C82" s="6"/>
      <x:c r="D82" s="6"/>
      <x:c r="E82" s="6"/>
    </x:row>
    <x:row r="83">
      <x:c r="B83" s="6"/>
      <x:c r="C83" s="6"/>
      <x:c r="D83" s="6"/>
      <x:c r="E83" s="6"/>
    </x:row>
    <x:row r="84">
      <x:c r="B84" s="6"/>
      <x:c r="C84" s="6"/>
      <x:c r="D84" s="6"/>
      <x:c r="E84" s="6"/>
    </x:row>
    <x:row r="85">
      <x:c r="B85" s="6"/>
      <x:c r="C85" s="6"/>
      <x:c r="D85" s="6"/>
      <x:c r="E85" s="6"/>
    </x:row>
    <x:row r="86">
      <x:c r="B86" s="6"/>
      <x:c r="C86" s="6"/>
      <x:c r="D86" s="6"/>
      <x:c r="E86" s="6"/>
    </x:row>
    <x:row r="87">
      <x:c r="B87" s="6"/>
      <x:c r="C87" s="6"/>
      <x:c r="D87" s="6"/>
      <x:c r="E87" s="6"/>
    </x:row>
    <x:row r="88">
      <x:c r="B88" s="6"/>
      <x:c r="C88" s="6"/>
      <x:c r="D88" s="6"/>
      <x:c r="E88" s="6"/>
    </x:row>
    <x:row r="89">
      <x:c r="B89" s="6"/>
      <x:c r="C89" s="6"/>
      <x:c r="D89" s="6"/>
      <x:c r="E89" s="6"/>
    </x:row>
    <x:row r="90">
      <x:c r="B90" s="6"/>
      <x:c r="C90" s="6"/>
      <x:c r="D90" s="6"/>
      <x:c r="E90" s="6"/>
    </x:row>
    <x:row r="91">
      <x:c r="B91" s="6"/>
      <x:c r="C91" s="6"/>
      <x:c r="D91" s="6"/>
      <x:c r="E91" s="6"/>
    </x:row>
    <x:row r="92">
      <x:c r="B92" s="6"/>
      <x:c r="C92" s="6"/>
      <x:c r="D92" s="6"/>
      <x:c r="E92" s="6"/>
    </x:row>
    <x:row r="93">
      <x:c r="B93" s="6"/>
      <x:c r="C93" s="6"/>
      <x:c r="D93" s="6"/>
      <x:c r="E93" s="6"/>
    </x:row>
    <x:row r="94">
      <x:c r="B94" s="6"/>
      <x:c r="C94" s="6"/>
      <x:c r="D94" s="6"/>
      <x:c r="E94" s="6"/>
    </x:row>
    <x:row r="95">
      <x:c r="B95" s="6"/>
      <x:c r="C95" s="6"/>
      <x:c r="D95" s="6"/>
      <x:c r="E95" s="6"/>
    </x:row>
    <x:row r="96">
      <x:c r="B96" s="6"/>
      <x:c r="C96" s="6"/>
      <x:c r="D96" s="6"/>
      <x:c r="E96" s="6"/>
    </x:row>
    <x:row r="97">
      <x:c r="B97" s="6"/>
      <x:c r="C97" s="6"/>
      <x:c r="D97" s="6"/>
      <x:c r="E97" s="6"/>
    </x:row>
    <x:row r="98">
      <x:c r="B98" s="6"/>
      <x:c r="C98" s="6"/>
      <x:c r="D98" s="6"/>
      <x:c r="E98" s="6"/>
    </x:row>
    <x:row r="99">
      <x:c r="B99" s="6"/>
      <x:c r="C99" s="6"/>
      <x:c r="D99" s="6"/>
      <x:c r="E99" s="6"/>
    </x:row>
    <x:row r="100">
      <x:c r="B100" s="6"/>
      <x:c r="C100" s="6"/>
      <x:c r="D100" s="6"/>
      <x:c r="E100" s="6"/>
    </x:row>
    <x:row r="101">
      <x:c r="B101" s="6"/>
      <x:c r="C101" s="6"/>
      <x:c r="D101" s="6"/>
      <x:c r="E101" s="6"/>
    </x:row>
    <x:row r="102">
      <x:c r="B102" s="6"/>
      <x:c r="C102" s="6"/>
      <x:c r="D102" s="6"/>
      <x:c r="E102" s="6"/>
    </x:row>
    <x:row r="103">
      <x:c r="B103" s="6"/>
      <x:c r="C103" s="6"/>
      <x:c r="D103" s="6"/>
      <x:c r="E103" s="6"/>
    </x:row>
    <x:row r="104">
      <x:c r="B104" s="6"/>
      <x:c r="C104" s="6"/>
      <x:c r="D104" s="6"/>
      <x:c r="E104" s="6"/>
    </x:row>
    <x:row r="105">
      <x:c r="B105" s="6"/>
      <x:c r="C105" s="6"/>
      <x:c r="D105" s="6"/>
      <x:c r="E105" s="6"/>
    </x:row>
    <x:row r="106">
      <x:c r="B106" s="6"/>
      <x:c r="C106" s="6"/>
      <x:c r="D106" s="6"/>
      <x:c r="E106" s="6"/>
    </x:row>
    <x:row r="107">
      <x:c r="B107" s="6"/>
      <x:c r="C107" s="6"/>
      <x:c r="D107" s="6"/>
      <x:c r="E107" s="6"/>
    </x:row>
    <x:row r="108">
      <x:c r="B108" s="6"/>
      <x:c r="C108" s="6"/>
      <x:c r="D108" s="6"/>
      <x:c r="E108" s="6"/>
    </x:row>
    <x:row r="109">
      <x:c r="B109" s="6"/>
      <x:c r="C109" s="6"/>
      <x:c r="D109" s="6"/>
      <x:c r="E109" s="6"/>
    </x:row>
    <x:row r="110">
      <x:c r="B110" s="6"/>
      <x:c r="C110" s="6"/>
      <x:c r="D110" s="6"/>
      <x:c r="E110" s="6"/>
    </x:row>
    <x:row r="111">
      <x:c r="B111" s="6"/>
      <x:c r="C111" s="6"/>
      <x:c r="D111" s="6"/>
      <x:c r="E111" s="6"/>
    </x:row>
    <x:row r="112">
      <x:c r="B112" s="6"/>
      <x:c r="C112" s="6"/>
      <x:c r="D112" s="6"/>
      <x:c r="E112" s="6"/>
    </x:row>
    <x:row r="113">
      <x:c r="B113" s="6"/>
      <x:c r="C113" s="6"/>
      <x:c r="D113" s="6"/>
      <x:c r="E113" s="6"/>
    </x:row>
    <x:row r="114">
      <x:c r="B114" s="6"/>
      <x:c r="C114" s="6"/>
      <x:c r="D114" s="6"/>
      <x:c r="E114" s="6"/>
    </x:row>
    <x:row r="115">
      <x:c r="B115" s="6"/>
      <x:c r="C115" s="6"/>
      <x:c r="D115" s="6"/>
      <x:c r="E115" s="6"/>
    </x:row>
    <x:row r="116">
      <x:c r="B116" s="6"/>
      <x:c r="C116" s="6"/>
      <x:c r="D116" s="6"/>
      <x:c r="E116" s="6"/>
    </x:row>
    <x:row r="117">
      <x:c r="B117" s="6"/>
      <x:c r="C117" s="6"/>
      <x:c r="D117" s="6"/>
      <x:c r="E117" s="6"/>
    </x:row>
    <x:row r="118">
      <x:c r="B118" s="6"/>
      <x:c r="C118" s="6"/>
      <x:c r="D118" s="6"/>
      <x:c r="E118" s="6"/>
    </x:row>
    <x:row r="119">
      <x:c r="B119" s="6"/>
      <x:c r="C119" s="6"/>
      <x:c r="D119" s="6"/>
      <x:c r="E119" s="6"/>
    </x:row>
    <x:row r="120">
      <x:c r="B120" s="6"/>
      <x:c r="C120" s="6"/>
      <x:c r="D120" s="6"/>
      <x:c r="E120" s="6"/>
    </x:row>
    <x:row r="121">
      <x:c r="B121" s="6"/>
      <x:c r="C121" s="6"/>
      <x:c r="D121" s="6"/>
      <x:c r="E121" s="6"/>
    </x:row>
    <x:row r="122">
      <x:c r="B122" s="6"/>
      <x:c r="C122" s="6"/>
      <x:c r="D122" s="6"/>
      <x:c r="E122" s="6"/>
    </x:row>
    <x:row r="123">
      <x:c r="B123" s="6"/>
      <x:c r="C123" s="6"/>
      <x:c r="D123" s="6"/>
      <x:c r="E123" s="6"/>
    </x:row>
    <x:row r="124">
      <x:c r="B124" s="6"/>
      <x:c r="C124" s="6"/>
      <x:c r="D124" s="6"/>
      <x:c r="E124" s="6"/>
    </x:row>
    <x:row r="125">
      <x:c r="B125" s="6"/>
      <x:c r="C125" s="6"/>
      <x:c r="D125" s="6"/>
      <x:c r="E125" s="6"/>
    </x:row>
    <x:row r="126">
      <x:c r="B126" s="6"/>
      <x:c r="C126" s="6"/>
      <x:c r="D126" s="6"/>
      <x:c r="E126" s="6"/>
    </x:row>
    <x:row r="127">
      <x:c r="B127" s="6"/>
      <x:c r="C127" s="6"/>
      <x:c r="D127" s="6"/>
      <x:c r="E127" s="6"/>
    </x:row>
    <x:row r="128">
      <x:c r="B128" s="6"/>
      <x:c r="C128" s="6"/>
      <x:c r="D128" s="6"/>
      <x:c r="E128" s="6"/>
    </x:row>
    <x:row r="129">
      <x:c r="B129" s="6"/>
      <x:c r="C129" s="6"/>
      <x:c r="D129" s="6"/>
      <x:c r="E129" s="6"/>
    </x:row>
    <x:row r="130">
      <x:c r="B130" s="6"/>
      <x:c r="C130" s="6"/>
      <x:c r="D130" s="6"/>
      <x:c r="E130" s="6"/>
    </x:row>
    <x:row r="131">
      <x:c r="B131" s="6"/>
      <x:c r="C131" s="6"/>
      <x:c r="D131" s="6"/>
      <x:c r="E131" s="6"/>
    </x:row>
    <x:row r="132">
      <x:c r="B132" s="6"/>
      <x:c r="C132" s="6"/>
      <x:c r="D132" s="6"/>
      <x:c r="E132" s="6"/>
    </x:row>
    <x:row r="133">
      <x:c r="B133" s="6"/>
      <x:c r="C133" s="6"/>
      <x:c r="D133" s="6"/>
      <x:c r="E133" s="6"/>
    </x:row>
    <x:row r="134">
      <x:c r="B134" s="6"/>
      <x:c r="C134" s="6"/>
      <x:c r="D134" s="6"/>
      <x:c r="E134" s="6"/>
    </x:row>
    <x:row r="135">
      <x:c r="B135" s="6"/>
      <x:c r="C135" s="6"/>
      <x:c r="D135" s="6"/>
      <x:c r="E135" s="6"/>
    </x:row>
    <x:row r="136">
      <x:c r="B136" s="6"/>
      <x:c r="C136" s="6"/>
      <x:c r="D136" s="6"/>
      <x:c r="E136" s="6"/>
    </x:row>
    <x:row r="137">
      <x:c r="B137" s="6"/>
      <x:c r="C137" s="6"/>
      <x:c r="D137" s="6"/>
      <x:c r="E137" s="6"/>
    </x:row>
    <x:row r="138">
      <x:c r="B138" s="6"/>
      <x:c r="C138" s="6"/>
      <x:c r="D138" s="6"/>
      <x:c r="E138" s="6"/>
    </x:row>
    <x:row r="139">
      <x:c r="B139" s="6"/>
      <x:c r="C139" s="6"/>
      <x:c r="D139" s="6"/>
      <x:c r="E139" s="6"/>
    </x:row>
    <x:row r="140">
      <x:c r="B140" s="6"/>
      <x:c r="C140" s="6"/>
      <x:c r="D140" s="6"/>
      <x:c r="E140" s="6"/>
    </x:row>
    <x:row r="141">
      <x:c r="B141" s="6"/>
      <x:c r="C141" s="6"/>
      <x:c r="D141" s="6"/>
      <x:c r="E141" s="6"/>
    </x:row>
    <x:row r="142">
      <x:c r="B142" s="6"/>
      <x:c r="C142" s="6"/>
      <x:c r="D142" s="6"/>
      <x:c r="E142" s="6"/>
    </x:row>
    <x:row r="143">
      <x:c r="B143" s="6"/>
      <x:c r="C143" s="6"/>
      <x:c r="D143" s="6"/>
      <x:c r="E143" s="6"/>
    </x:row>
    <x:row r="144">
      <x:c r="B144" s="6"/>
      <x:c r="C144" s="6"/>
      <x:c r="D144" s="6"/>
      <x:c r="E144" s="6"/>
    </x:row>
    <x:row r="145">
      <x:c r="B145" s="6"/>
      <x:c r="C145" s="6"/>
      <x:c r="D145" s="6"/>
      <x:c r="E145" s="6"/>
    </x:row>
    <x:row r="146">
      <x:c r="B146" s="6"/>
      <x:c r="C146" s="6"/>
      <x:c r="D146" s="6"/>
      <x:c r="E146" s="6"/>
    </x:row>
    <x:row r="147">
      <x:c r="B147" s="6"/>
      <x:c r="C147" s="6"/>
      <x:c r="D147" s="6"/>
      <x:c r="E147" s="6"/>
    </x:row>
    <x:row r="148">
      <x:c r="B148" s="6"/>
      <x:c r="C148" s="6"/>
      <x:c r="D148" s="6"/>
      <x:c r="E148" s="6"/>
    </x:row>
    <x:row r="149">
      <x:c r="B149" s="6"/>
      <x:c r="C149" s="6"/>
      <x:c r="D149" s="6"/>
      <x:c r="E149" s="6"/>
    </x:row>
    <x:row r="150">
      <x:c r="B150" s="6"/>
      <x:c r="C150" s="6"/>
      <x:c r="D150" s="6"/>
      <x:c r="E150" s="6"/>
    </x:row>
    <x:row r="151">
      <x:c r="B151" s="6"/>
      <x:c r="C151" s="6"/>
      <x:c r="D151" s="6"/>
      <x:c r="E151" s="6"/>
    </x:row>
    <x:row r="152">
      <x:c r="B152" s="6"/>
      <x:c r="C152" s="6"/>
      <x:c r="D152" s="6"/>
      <x:c r="E152" s="6"/>
    </x:row>
    <x:row r="153">
      <x:c r="B153" s="6"/>
      <x:c r="C153" s="6"/>
      <x:c r="D153" s="6"/>
      <x:c r="E153" s="6"/>
    </x:row>
    <x:row r="154">
      <x:c r="B154" s="6"/>
      <x:c r="C154" s="6"/>
      <x:c r="D154" s="6"/>
      <x:c r="E154" s="6"/>
    </x:row>
    <x:row r="155">
      <x:c r="B155" s="6"/>
      <x:c r="C155" s="6"/>
      <x:c r="D155" s="6"/>
      <x:c r="E155" s="6"/>
    </x:row>
    <x:row r="156">
      <x:c r="B156" s="6"/>
      <x:c r="C156" s="6"/>
      <x:c r="D156" s="6"/>
      <x:c r="E156" s="6"/>
    </x:row>
    <x:row r="157">
      <x:c r="B157" s="6"/>
      <x:c r="C157" s="6"/>
      <x:c r="D157" s="6"/>
      <x:c r="E157" s="6"/>
    </x:row>
    <x:row r="158">
      <x:c r="B158" s="6"/>
      <x:c r="C158" s="6"/>
      <x:c r="D158" s="6"/>
      <x:c r="E158" s="6"/>
    </x:row>
    <x:row r="159">
      <x:c r="B159" s="6"/>
      <x:c r="C159" s="6"/>
      <x:c r="D159" s="6"/>
      <x:c r="E159" s="6"/>
    </x:row>
    <x:row r="160">
      <x:c r="B160" s="6"/>
      <x:c r="C160" s="6"/>
      <x:c r="D160" s="6"/>
      <x:c r="E160" s="6"/>
    </x:row>
    <x:row r="161">
      <x:c r="B161" s="6"/>
      <x:c r="C161" s="6"/>
      <x:c r="D161" s="6"/>
      <x:c r="E161" s="6"/>
    </x:row>
    <x:row r="162">
      <x:c r="B162" s="6"/>
      <x:c r="C162" s="6"/>
      <x:c r="D162" s="6"/>
      <x:c r="E162" s="6"/>
    </x:row>
    <x:row r="163">
      <x:c r="B163" s="6"/>
      <x:c r="C163" s="6"/>
      <x:c r="D163" s="6"/>
      <x:c r="E163" s="6"/>
    </x:row>
    <x:row r="164">
      <x:c r="B164" s="6"/>
      <x:c r="C164" s="6"/>
      <x:c r="D164" s="6"/>
      <x:c r="E164" s="6"/>
    </x:row>
    <x:row r="165">
      <x:c r="B165" s="6"/>
      <x:c r="C165" s="6"/>
      <x:c r="D165" s="6"/>
      <x:c r="E165" s="6"/>
    </x:row>
    <x:row r="166">
      <x:c r="B166" s="6"/>
      <x:c r="C166" s="6"/>
      <x:c r="D166" s="6"/>
      <x:c r="E166" s="6"/>
    </x:row>
    <x:row r="167">
      <x:c r="B167" s="6"/>
      <x:c r="C167" s="6"/>
      <x:c r="D167" s="6"/>
      <x:c r="E167" s="6"/>
    </x:row>
    <x:row r="168">
      <x:c r="B168" s="6"/>
      <x:c r="C168" s="6"/>
      <x:c r="D168" s="6"/>
      <x:c r="E168" s="6"/>
    </x:row>
    <x:row r="169">
      <x:c r="B169" s="6"/>
      <x:c r="C169" s="6"/>
      <x:c r="D169" s="6"/>
      <x:c r="E169" s="6"/>
    </x:row>
    <x:row r="170">
      <x:c r="B170" s="6"/>
      <x:c r="C170" s="6"/>
      <x:c r="D170" s="6"/>
      <x:c r="E170" s="6"/>
    </x:row>
    <x:row r="171">
      <x:c r="B171" s="6"/>
      <x:c r="C171" s="6"/>
      <x:c r="D171" s="6"/>
      <x:c r="E171" s="6"/>
    </x:row>
    <x:row r="172">
      <x:c r="B172" s="6"/>
      <x:c r="C172" s="6"/>
      <x:c r="D172" s="6"/>
      <x:c r="E172" s="6"/>
    </x:row>
    <x:row r="173">
      <x:c r="B173" s="6"/>
      <x:c r="C173" s="6"/>
      <x:c r="D173" s="6"/>
      <x:c r="E173" s="6"/>
    </x:row>
    <x:row r="174">
      <x:c r="B174" s="6"/>
      <x:c r="C174" s="6"/>
      <x:c r="D174" s="6"/>
      <x:c r="E174" s="6"/>
    </x:row>
    <x:row r="175">
      <x:c r="B175" s="6"/>
      <x:c r="C175" s="6"/>
      <x:c r="D175" s="6"/>
      <x:c r="E175" s="6"/>
    </x:row>
    <x:row r="176">
      <x:c r="B176" s="6"/>
      <x:c r="C176" s="6"/>
      <x:c r="D176" s="6"/>
      <x:c r="E176" s="6"/>
    </x:row>
    <x:row r="177">
      <x:c r="B177" s="6"/>
      <x:c r="C177" s="6"/>
      <x:c r="D177" s="6"/>
      <x:c r="E177" s="6"/>
    </x:row>
    <x:row r="178">
      <x:c r="B178" s="6"/>
      <x:c r="C178" s="6"/>
      <x:c r="D178" s="6"/>
      <x:c r="E178" s="6"/>
    </x:row>
    <x:row r="179">
      <x:c r="B179" s="6"/>
      <x:c r="C179" s="6"/>
      <x:c r="D179" s="6"/>
      <x:c r="E179" s="6"/>
    </x:row>
    <x:row r="180">
      <x:c r="B180" s="6"/>
      <x:c r="C180" s="6"/>
      <x:c r="D180" s="6"/>
      <x:c r="E180" s="6"/>
    </x:row>
    <x:row r="181">
      <x:c r="B181" s="6"/>
      <x:c r="C181" s="6"/>
      <x:c r="D181" s="6"/>
      <x:c r="E181" s="6"/>
    </x:row>
    <x:row r="182">
      <x:c r="B182" s="6"/>
      <x:c r="C182" s="6"/>
      <x:c r="D182" s="6"/>
      <x:c r="E182" s="6"/>
    </x:row>
    <x:row r="183">
      <x:c r="B183" s="6"/>
      <x:c r="C183" s="6"/>
      <x:c r="D183" s="6"/>
      <x:c r="E183" s="6"/>
    </x:row>
    <x:row r="184">
      <x:c r="B184" s="6"/>
      <x:c r="C184" s="6"/>
      <x:c r="D184" s="6"/>
      <x:c r="E184" s="6"/>
    </x:row>
    <x:row r="185">
      <x:c r="B185" s="6"/>
      <x:c r="C185" s="6"/>
      <x:c r="D185" s="6"/>
      <x:c r="E185" s="6"/>
    </x:row>
    <x:row r="186">
      <x:c r="B186" s="6"/>
      <x:c r="C186" s="6"/>
      <x:c r="D186" s="6"/>
      <x:c r="E186" s="6"/>
    </x:row>
    <x:row r="187">
      <x:c r="B187" s="6"/>
      <x:c r="C187" s="6"/>
      <x:c r="D187" s="6"/>
      <x:c r="E187" s="6"/>
    </x:row>
    <x:row r="188">
      <x:c r="B188" s="6"/>
      <x:c r="C188" s="6"/>
      <x:c r="D188" s="6"/>
      <x:c r="E188" s="6"/>
    </x:row>
    <x:row r="189">
      <x:c r="B189" s="6"/>
      <x:c r="C189" s="6"/>
      <x:c r="D189" s="6"/>
      <x:c r="E189" s="6"/>
    </x:row>
    <x:row r="190">
      <x:c r="B190" s="6"/>
      <x:c r="C190" s="6"/>
      <x:c r="D190" s="6"/>
      <x:c r="E190" s="6"/>
    </x:row>
    <x:row r="191">
      <x:c r="B191" s="6"/>
      <x:c r="C191" s="6"/>
      <x:c r="D191" s="6"/>
      <x:c r="E191" s="6"/>
    </x:row>
    <x:row r="192">
      <x:c r="B192" s="6"/>
      <x:c r="C192" s="6"/>
      <x:c r="D192" s="6"/>
      <x:c r="E192" s="6"/>
    </x:row>
    <x:row r="193">
      <x:c r="B193" s="6"/>
      <x:c r="C193" s="6"/>
      <x:c r="D193" s="6"/>
      <x:c r="E193" s="6"/>
    </x:row>
    <x:row r="194">
      <x:c r="B194" s="6"/>
      <x:c r="C194" s="6"/>
      <x:c r="D194" s="6"/>
      <x:c r="E194" s="6"/>
    </x:row>
    <x:row r="195">
      <x:c r="B195" s="6"/>
      <x:c r="C195" s="6"/>
      <x:c r="D195" s="6"/>
      <x:c r="E195" s="6"/>
    </x:row>
    <x:row r="196">
      <x:c r="B196" s="6"/>
      <x:c r="C196" s="6"/>
      <x:c r="D196" s="6"/>
      <x:c r="E196" s="6"/>
    </x:row>
    <x:row r="197">
      <x:c r="B197" s="6"/>
      <x:c r="C197" s="6"/>
      <x:c r="D197" s="6"/>
      <x:c r="E197" s="6"/>
    </x:row>
    <x:row r="198">
      <x:c r="B198" s="6"/>
      <x:c r="C198" s="6"/>
      <x:c r="D198" s="6"/>
      <x:c r="E198" s="6"/>
    </x:row>
    <x:row r="199">
      <x:c r="B199" s="6"/>
      <x:c r="C199" s="6"/>
      <x:c r="D199" s="6"/>
      <x:c r="E199" s="6"/>
    </x:row>
    <x:row r="200">
      <x:c r="B200" s="6"/>
      <x:c r="C200" s="6"/>
      <x:c r="D200" s="6"/>
      <x:c r="E200" s="6"/>
    </x:row>
    <x:row r="201">
      <x:c r="B201" s="6"/>
      <x:c r="C201" s="6"/>
      <x:c r="D201" s="6"/>
      <x:c r="E201" s="6"/>
    </x:row>
    <x:row r="202">
      <x:c r="B202" s="6"/>
      <x:c r="C202" s="6"/>
      <x:c r="D202" s="6"/>
      <x:c r="E202" s="6"/>
    </x:row>
    <x:row r="203">
      <x:c r="B203" s="6"/>
      <x:c r="C203" s="6"/>
      <x:c r="D203" s="6"/>
      <x:c r="E203" s="6"/>
    </x:row>
    <x:row r="204">
      <x:c r="B204" s="6"/>
      <x:c r="C204" s="6"/>
      <x:c r="D204" s="6"/>
      <x:c r="E204" s="6"/>
    </x:row>
    <x:row r="205">
      <x:c r="B205" s="6"/>
      <x:c r="C205" s="6"/>
      <x:c r="D205" s="6"/>
      <x:c r="E205" s="6"/>
    </x:row>
    <x:row r="206">
      <x:c r="B206" s="6"/>
      <x:c r="C206" s="6"/>
      <x:c r="D206" s="6"/>
      <x:c r="E206" s="6"/>
    </x:row>
    <x:row r="207">
      <x:c r="B207" s="6"/>
      <x:c r="C207" s="6"/>
      <x:c r="D207" s="6"/>
      <x:c r="E207" s="6"/>
    </x:row>
    <x:row r="208">
      <x:c r="B208" s="6"/>
      <x:c r="C208" s="6"/>
      <x:c r="D208" s="6"/>
      <x:c r="E208" s="6"/>
    </x:row>
    <x:row r="209">
      <x:c r="B209" s="6"/>
      <x:c r="C209" s="6"/>
      <x:c r="D209" s="6"/>
      <x:c r="E209" s="6"/>
    </x:row>
    <x:row r="210">
      <x:c r="B210" s="6"/>
      <x:c r="C210" s="6"/>
      <x:c r="D210" s="6"/>
      <x:c r="E210" s="6"/>
    </x:row>
    <x:row r="211">
      <x:c r="B211" s="6"/>
      <x:c r="C211" s="6"/>
      <x:c r="D211" s="6"/>
      <x:c r="E211" s="6"/>
    </x:row>
    <x:row r="212">
      <x:c r="B212" s="6"/>
      <x:c r="C212" s="6"/>
      <x:c r="D212" s="6"/>
      <x:c r="E212" s="6"/>
    </x:row>
    <x:row r="213">
      <x:c r="B213" s="6"/>
      <x:c r="C213" s="6"/>
      <x:c r="D213" s="6"/>
      <x:c r="E213" s="6"/>
    </x:row>
    <x:row r="214">
      <x:c r="B214" s="6"/>
      <x:c r="C214" s="6"/>
      <x:c r="D214" s="6"/>
      <x:c r="E214" s="6"/>
    </x:row>
    <x:row r="215">
      <x:c r="B215" s="6"/>
      <x:c r="C215" s="6"/>
      <x:c r="D215" s="6"/>
      <x:c r="E215" s="6"/>
    </x:row>
    <x:row r="216">
      <x:c r="B216" s="6"/>
      <x:c r="C216" s="6"/>
      <x:c r="D216" s="6"/>
      <x:c r="E216" s="6"/>
    </x:row>
    <x:row r="217">
      <x:c r="B217" s="6"/>
      <x:c r="C217" s="6"/>
      <x:c r="D217" s="6"/>
      <x:c r="E217" s="6"/>
    </x:row>
    <x:row r="218">
      <x:c r="B218" s="6"/>
      <x:c r="C218" s="6"/>
      <x:c r="D218" s="6"/>
      <x:c r="E218" s="6"/>
    </x:row>
    <x:row r="219">
      <x:c r="B219" s="6"/>
      <x:c r="C219" s="6"/>
      <x:c r="D219" s="6"/>
      <x:c r="E219" s="6"/>
    </x:row>
    <x:row r="220">
      <x:c r="B220" s="6"/>
      <x:c r="C220" s="6"/>
      <x:c r="D220" s="6"/>
      <x:c r="E220" s="6"/>
    </x:row>
    <x:row r="221">
      <x:c r="B221" s="6"/>
      <x:c r="C221" s="6"/>
      <x:c r="D221" s="6"/>
      <x:c r="E221" s="6"/>
    </x:row>
    <x:row r="222">
      <x:c r="B222" s="6"/>
      <x:c r="C222" s="6"/>
      <x:c r="D222" s="6"/>
      <x:c r="E222" s="6"/>
    </x:row>
    <x:row r="223">
      <x:c r="B223" s="6"/>
      <x:c r="C223" s="6"/>
      <x:c r="D223" s="6"/>
      <x:c r="E223" s="6"/>
    </x:row>
    <x:row r="224">
      <x:c r="B224" s="6"/>
      <x:c r="C224" s="6"/>
      <x:c r="D224" s="6"/>
      <x:c r="E224" s="6"/>
    </x:row>
    <x:row r="225">
      <x:c r="B225" s="6"/>
      <x:c r="C225" s="6"/>
      <x:c r="D225" s="6"/>
      <x:c r="E225" s="6"/>
    </x:row>
    <x:row r="226">
      <x:c r="B226" s="6"/>
      <x:c r="C226" s="6"/>
      <x:c r="D226" s="6"/>
      <x:c r="E226" s="6"/>
    </x:row>
    <x:row r="227">
      <x:c r="B227" s="6"/>
      <x:c r="C227" s="6"/>
      <x:c r="D227" s="6"/>
      <x:c r="E227" s="6"/>
    </x:row>
    <x:row r="228">
      <x:c r="B228" s="6"/>
      <x:c r="C228" s="6"/>
      <x:c r="D228" s="6"/>
      <x:c r="E228" s="6"/>
    </x:row>
    <x:row r="229">
      <x:c r="B229" s="6"/>
      <x:c r="C229" s="6"/>
      <x:c r="D229" s="6"/>
      <x:c r="E229" s="6"/>
    </x:row>
    <x:row r="230">
      <x:c r="B230" s="6"/>
      <x:c r="C230" s="6"/>
      <x:c r="D230" s="6"/>
      <x:c r="E230" s="6"/>
    </x:row>
    <x:row r="231">
      <x:c r="B231" s="6"/>
      <x:c r="C231" s="6"/>
      <x:c r="D231" s="6"/>
      <x:c r="E231" s="6"/>
    </x:row>
    <x:row r="232">
      <x:c r="B232" s="6"/>
      <x:c r="C232" s="6"/>
      <x:c r="D232" s="6"/>
      <x:c r="E232" s="6"/>
    </x:row>
    <x:row r="233">
      <x:c r="B233" s="6"/>
      <x:c r="C233" s="6"/>
      <x:c r="D233" s="6"/>
      <x:c r="E233" s="6"/>
    </x:row>
    <x:row r="234">
      <x:c r="B234" s="6"/>
      <x:c r="C234" s="6"/>
      <x:c r="D234" s="6"/>
      <x:c r="E234" s="6"/>
    </x:row>
    <x:row r="235">
      <x:c r="B235" s="6"/>
      <x:c r="C235" s="6"/>
      <x:c r="D235" s="6"/>
      <x:c r="E235" s="6"/>
    </x:row>
    <x:row r="236">
      <x:c r="B236" s="6"/>
      <x:c r="C236" s="6"/>
      <x:c r="D236" s="6"/>
      <x:c r="E236" s="6"/>
    </x:row>
    <x:row r="237">
      <x:c r="B237" s="6"/>
      <x:c r="C237" s="6"/>
      <x:c r="D237" s="6"/>
      <x:c r="E237" s="6"/>
    </x:row>
    <x:row r="238">
      <x:c r="B238" s="6"/>
      <x:c r="C238" s="6"/>
      <x:c r="D238" s="6"/>
      <x:c r="E238" s="6"/>
    </x:row>
    <x:row r="239">
      <x:c r="B239" s="6"/>
      <x:c r="C239" s="6"/>
      <x:c r="D239" s="6"/>
      <x:c r="E239" s="6"/>
    </x:row>
    <x:row r="240">
      <x:c r="B240" s="6"/>
      <x:c r="C240" s="6"/>
      <x:c r="D240" s="6"/>
      <x:c r="E240" s="6"/>
    </x:row>
    <x:row r="241">
      <x:c r="B241" s="6"/>
      <x:c r="C241" s="6"/>
      <x:c r="D241" s="6"/>
      <x:c r="E241" s="6"/>
    </x:row>
    <x:row r="242">
      <x:c r="B242" s="6"/>
      <x:c r="C242" s="6"/>
      <x:c r="D242" s="6"/>
      <x:c r="E242" s="6"/>
    </x:row>
    <x:row r="243">
      <x:c r="B243" s="6"/>
      <x:c r="C243" s="6"/>
      <x:c r="D243" s="6"/>
      <x:c r="E243" s="6"/>
    </x:row>
    <x:row r="244">
      <x:c r="B244" s="6"/>
      <x:c r="C244" s="6"/>
      <x:c r="D244" s="6"/>
      <x:c r="E244" s="6"/>
    </x:row>
    <x:row r="245">
      <x:c r="B245" s="6"/>
      <x:c r="C245" s="6"/>
      <x:c r="D245" s="6"/>
      <x:c r="E245" s="6"/>
    </x:row>
    <x:row r="246">
      <x:c r="B246" s="6"/>
      <x:c r="C246" s="6"/>
      <x:c r="D246" s="6"/>
      <x:c r="E246" s="6"/>
    </x:row>
    <x:row r="247">
      <x:c r="B247" s="6"/>
      <x:c r="C247" s="6"/>
      <x:c r="D247" s="6"/>
      <x:c r="E247" s="6"/>
    </x:row>
    <x:row r="248">
      <x:c r="B248" s="6"/>
      <x:c r="C248" s="6"/>
      <x:c r="D248" s="6"/>
      <x:c r="E248" s="6"/>
    </x:row>
    <x:row r="249">
      <x:c r="B249" s="6"/>
      <x:c r="C249" s="6"/>
      <x:c r="D249" s="6"/>
      <x:c r="E249" s="6"/>
    </x:row>
    <x:row r="250">
      <x:c r="B250" s="6"/>
      <x:c r="C250" s="6"/>
      <x:c r="D250" s="6"/>
      <x:c r="E250" s="6"/>
    </x:row>
    <x:row r="251">
      <x:c r="B251" s="6"/>
      <x:c r="C251" s="6"/>
      <x:c r="D251" s="6"/>
      <x:c r="E251" s="6"/>
    </x:row>
    <x:row r="252">
      <x:c r="B252" s="6"/>
      <x:c r="C252" s="6"/>
      <x:c r="D252" s="6"/>
      <x:c r="E252" s="6"/>
    </x:row>
    <x:row r="253">
      <x:c r="B253" s="6"/>
      <x:c r="C253" s="6"/>
      <x:c r="D253" s="6"/>
      <x:c r="E253" s="6"/>
    </x:row>
    <x:row r="254">
      <x:c r="B254" s="6"/>
      <x:c r="C254" s="6"/>
      <x:c r="D254" s="6"/>
      <x:c r="E254" s="6"/>
    </x:row>
    <x:row r="255">
      <x:c r="B255" s="6"/>
      <x:c r="C255" s="6"/>
      <x:c r="D255" s="6"/>
      <x:c r="E255" s="6"/>
    </x:row>
    <x:row r="256">
      <x:c r="B256" s="6"/>
      <x:c r="C256" s="6"/>
      <x:c r="D256" s="6"/>
      <x:c r="E256" s="6"/>
    </x:row>
    <x:row r="257">
      <x:c r="B257" s="6"/>
      <x:c r="C257" s="6"/>
      <x:c r="D257" s="6"/>
      <x:c r="E257" s="6"/>
    </x:row>
    <x:row r="258">
      <x:c r="B258" s="6"/>
      <x:c r="C258" s="6"/>
      <x:c r="D258" s="6"/>
      <x:c r="E258" s="6"/>
    </x:row>
    <x:row r="259">
      <x:c r="B259" s="6"/>
      <x:c r="C259" s="6"/>
      <x:c r="D259" s="6"/>
      <x:c r="E259" s="6"/>
    </x:row>
    <x:row r="260">
      <x:c r="B260" s="6"/>
      <x:c r="C260" s="6"/>
      <x:c r="D260" s="6"/>
      <x:c r="E260" s="6"/>
    </x:row>
    <x:row r="261">
      <x:c r="B261" s="6"/>
      <x:c r="C261" s="6"/>
      <x:c r="D261" s="6"/>
      <x:c r="E261" s="6"/>
    </x:row>
    <x:row r="262">
      <x:c r="B262" s="6"/>
      <x:c r="C262" s="6"/>
      <x:c r="D262" s="6"/>
      <x:c r="E262" s="6"/>
    </x:row>
    <x:row r="263">
      <x:c r="B263" s="6"/>
      <x:c r="C263" s="6"/>
      <x:c r="D263" s="6"/>
      <x:c r="E263" s="6"/>
    </x:row>
    <x:row r="264">
      <x:c r="B264" s="6"/>
      <x:c r="C264" s="6"/>
      <x:c r="D264" s="6"/>
      <x:c r="E264" s="6"/>
    </x:row>
    <x:row r="265">
      <x:c r="B265" s="6"/>
      <x:c r="C265" s="6"/>
      <x:c r="D265" s="6"/>
      <x:c r="E265" s="6"/>
    </x:row>
    <x:row r="266">
      <x:c r="B266" s="6"/>
      <x:c r="C266" s="6"/>
      <x:c r="D266" s="6"/>
      <x:c r="E266" s="6"/>
    </x:row>
    <x:row r="267">
      <x:c r="B267" s="6"/>
      <x:c r="C267" s="6"/>
      <x:c r="D267" s="6"/>
      <x:c r="E267" s="6"/>
    </x:row>
    <x:row r="268">
      <x:c r="B268" s="6"/>
      <x:c r="C268" s="6"/>
      <x:c r="D268" s="6"/>
      <x:c r="E268" s="6"/>
    </x:row>
    <x:row r="269">
      <x:c r="B269" s="6"/>
      <x:c r="C269" s="6"/>
      <x:c r="D269" s="6"/>
      <x:c r="E269" s="6"/>
    </x:row>
    <x:row r="270">
      <x:c r="B270" s="6"/>
      <x:c r="C270" s="6"/>
      <x:c r="D270" s="6"/>
      <x:c r="E270" s="6"/>
    </x:row>
    <x:row r="271">
      <x:c r="B271" s="6"/>
      <x:c r="C271" s="6"/>
      <x:c r="D271" s="6"/>
      <x:c r="E271" s="6"/>
    </x:row>
    <x:row r="272">
      <x:c r="B272" s="6"/>
      <x:c r="C272" s="6"/>
      <x:c r="D272" s="6"/>
      <x:c r="E272" s="6"/>
    </x:row>
    <x:row r="273">
      <x:c r="B273" s="6"/>
      <x:c r="C273" s="6"/>
      <x:c r="D273" s="6"/>
      <x:c r="E273" s="6"/>
    </x:row>
    <x:row r="274">
      <x:c r="B274" s="6"/>
      <x:c r="C274" s="6"/>
      <x:c r="D274" s="6"/>
      <x:c r="E274" s="6"/>
    </x:row>
    <x:row r="275">
      <x:c r="B275" s="6"/>
      <x:c r="C275" s="6"/>
      <x:c r="D275" s="6"/>
      <x:c r="E275" s="6"/>
    </x:row>
    <x:row r="276">
      <x:c r="B276" s="6"/>
      <x:c r="C276" s="6"/>
      <x:c r="D276" s="6"/>
      <x:c r="E276" s="6"/>
    </x:row>
    <x:row r="277">
      <x:c r="B277" s="6"/>
      <x:c r="C277" s="6"/>
      <x:c r="D277" s="6"/>
      <x:c r="E277" s="6"/>
    </x:row>
    <x:row r="278">
      <x:c r="B278" s="6"/>
      <x:c r="C278" s="6"/>
      <x:c r="D278" s="6"/>
      <x:c r="E278" s="6"/>
    </x:row>
    <x:row r="279">
      <x:c r="B279" s="6"/>
      <x:c r="C279" s="6"/>
      <x:c r="D279" s="6"/>
      <x:c r="E279" s="6"/>
    </x:row>
    <x:row r="280">
      <x:c r="B280" s="6"/>
      <x:c r="C280" s="6"/>
      <x:c r="D280" s="6"/>
      <x:c r="E280" s="6"/>
    </x:row>
    <x:row r="281">
      <x:c r="B281" s="6"/>
      <x:c r="C281" s="6"/>
      <x:c r="D281" s="6"/>
      <x:c r="E281" s="6"/>
    </x:row>
    <x:row r="282">
      <x:c r="B282" s="6"/>
      <x:c r="C282" s="6"/>
      <x:c r="D282" s="6"/>
      <x:c r="E282" s="6"/>
    </x:row>
    <x:row r="283">
      <x:c r="B283" s="6"/>
      <x:c r="C283" s="6"/>
      <x:c r="D283" s="6"/>
      <x:c r="E283" s="6"/>
    </x:row>
    <x:row r="284">
      <x:c r="B284" s="6"/>
      <x:c r="C284" s="6"/>
      <x:c r="D284" s="6"/>
      <x:c r="E284" s="6"/>
    </x:row>
    <x:row r="285">
      <x:c r="B285" s="6"/>
      <x:c r="C285" s="6"/>
      <x:c r="D285" s="6"/>
      <x:c r="E285" s="6"/>
    </x:row>
    <x:row r="286">
      <x:c r="B286" s="6"/>
      <x:c r="C286" s="6"/>
      <x:c r="D286" s="6"/>
      <x:c r="E286" s="6"/>
    </x:row>
    <x:row r="287">
      <x:c r="B287" s="6"/>
      <x:c r="C287" s="6"/>
      <x:c r="D287" s="6"/>
      <x:c r="E287" s="6"/>
    </x:row>
    <x:row r="288">
      <x:c r="B288" s="6"/>
      <x:c r="C288" s="6"/>
      <x:c r="D288" s="6"/>
      <x:c r="E288" s="6"/>
    </x:row>
    <x:row r="289">
      <x:c r="B289" s="6"/>
      <x:c r="C289" s="6"/>
      <x:c r="D289" s="6"/>
      <x:c r="E289" s="6"/>
    </x:row>
    <x:row r="290">
      <x:c r="B290" s="6"/>
      <x:c r="C290" s="6"/>
      <x:c r="D290" s="6"/>
      <x:c r="E290" s="6"/>
    </x:row>
    <x:row r="291">
      <x:c r="B291" s="6"/>
      <x:c r="C291" s="6"/>
      <x:c r="D291" s="6"/>
      <x:c r="E291" s="6"/>
    </x:row>
    <x:row r="292">
      <x:c r="B292" s="6"/>
      <x:c r="C292" s="6"/>
      <x:c r="D292" s="6"/>
      <x:c r="E292" s="6"/>
    </x:row>
    <x:row r="293">
      <x:c r="B293" s="6"/>
      <x:c r="C293" s="6"/>
      <x:c r="D293" s="6"/>
      <x:c r="E293" s="6"/>
    </x:row>
    <x:row r="294">
      <x:c r="B294" s="6"/>
      <x:c r="C294" s="6"/>
      <x:c r="D294" s="6"/>
      <x:c r="E294" s="6"/>
    </x:row>
    <x:row r="295">
      <x:c r="B295" s="6"/>
      <x:c r="C295" s="6"/>
      <x:c r="D295" s="6"/>
      <x:c r="E295" s="6"/>
    </x:row>
    <x:row r="296">
      <x:c r="B296" s="6"/>
      <x:c r="C296" s="6"/>
      <x:c r="D296" s="6"/>
      <x:c r="E296" s="6"/>
    </x:row>
    <x:row r="297">
      <x:c r="B297" s="6"/>
      <x:c r="C297" s="6"/>
      <x:c r="D297" s="6"/>
      <x:c r="E297" s="6"/>
    </x:row>
    <x:row r="298">
      <x:c r="B298" s="6"/>
      <x:c r="C298" s="6"/>
      <x:c r="D298" s="6"/>
      <x:c r="E298" s="6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565619320aa4dc1"/>
  </x:tableParts>
</x:worksheet>
</file>

<file path=xl/worksheets/sheet10.xml><?xml version="1.0" encoding="utf-8"?>
<x:worksheet xmlns:x="http://schemas.openxmlformats.org/spreadsheetml/2006/main">
  <x:sheetFormatPr baseColWidth="10" defaultColWidth="9" defaultRowHeight="14.25"/>
  <x:cols>
    <x:col min="1" max="1" width="44.54999923706055" hidden="0" customWidth="1"/>
    <x:col min="2" max="2" width="22.479999542236328" hidden="0" customWidth="1"/>
    <x:col min="3" max="3" width="9.6899995803833" hidden="0" customWidth="1"/>
    <x:col min="4" max="4" width="75.5" hidden="0" customWidth="1"/>
  </x:cols>
  <x:sheetData>
    <x:row r="1" ht="27.950000762939453" customHeight="1">
      <x:c r="A1" s="57" t="str">
        <x:v>Paramètres globaux du modèle</x:v>
      </x:c>
      <x:c r="B1" s="57"/>
      <x:c r="C1" s="57"/>
      <x:c r="D1" s="57"/>
    </x:row>
    <x:row r="2" ht="42" customHeight="1">
      <x:c r="A2" s="14" t="str">
        <x:v>Paramètres généraux modifiables sans toucher au code.</x:v>
      </x:c>
      <x:c r="B2" s="14"/>
      <x:c r="C2" s="14"/>
      <x:c r="D2" s="14"/>
    </x:row>
    <x:row r="3" ht="15">
      <x:c r="A3" s="58" t="str">
        <x:v>parametre</x:v>
      </x:c>
      <x:c r="B3" s="58" t="str">
        <x:v>valeur</x:v>
      </x:c>
      <x:c r="C3" s="58" t="str">
        <x:v>unite</x:v>
      </x:c>
      <x:c r="D3" s="58" t="str">
        <x:v>commentaire</x:v>
      </x:c>
    </x:row>
    <x:row r="4" ht="33.95000076293945" customHeight="1">
      <x:c r="A4" s="3" t="str">
        <x:v>cout_passage_ide_had</x:v>
      </x:c>
      <x:c r="B4" s="3" t="n">
        <x:v>60</x:v>
      </x:c>
      <x:c r="C4" s="3" t="str">
        <x:v>€ / passage</x:v>
      </x:c>
      <x:c r="D4" s="3" t="str">
        <x:v>Règle fournie : chaque passage IDEL en HAD coûte 60 €.</x:v>
      </x:c>
    </x:row>
    <x:row r="5" ht="33.95000076293945" customHeight="1">
      <x:c r="A5" s="3" t="str">
        <x:v>inclure_medicament</x:v>
      </x:c>
      <x:c r="B5" s="3" t="n">
        <x:v>1</x:v>
      </x:c>
      <x:c r="C5" s="3" t="str">
        <x:v>0/1</x:v>
      </x:c>
      <x:c r="D5" s="3" t="str">
        <x:v>0 = non, 1 = oui.</x:v>
      </x:c>
    </x:row>
    <x:row r="6" ht="33.95000076293945" customHeight="1">
      <x:c r="A6" s="3" t="str">
        <x:v>inclure_reconstitution</x:v>
      </x:c>
      <x:c r="B6" s="3" t="n">
        <x:v>1</x:v>
      </x:c>
      <x:c r="C6" s="3" t="str">
        <x:v>0/1</x:v>
      </x:c>
      <x:c r="D6" s="3" t="str">
        <x:v>Ajoute les DM de reconstitution pour les présentations nécessitant une reconstitution/poudre.</x:v>
      </x:c>
    </x:row>
    <x:row r="7" ht="33.95000076293945" customHeight="1">
      <x:c r="A7" s="3" t="str">
        <x:v>inclure_temps_humain_hospitalier</x:v>
      </x:c>
      <x:c r="B7" s="3" t="n">
        <x:v>1</x:v>
      </x:c>
      <x:c r="C7" s="3" t="str">
        <x:v>0/1</x:v>
      </x:c>
      <x:c r="D7" s="3" t="str">
        <x:v>Active le calcul temps humain hospitalier.</x:v>
      </x:c>
    </x:row>
    <x:row r="8" ht="33.95000076293945" customHeight="1">
      <x:c r="A8" s="3" t="str">
        <x:v>inclure_transport_had</x:v>
      </x:c>
      <x:c r="B8" s="3" t="n">
        <x:v>0</x:v>
      </x:c>
      <x:c r="C8" s="3" t="str">
        <x:v>0/1</x:v>
      </x:c>
      <x:c r="D8" s="3" t="str">
        <x:v>Active CO₂ transport HAD si kgCO₂e/passage renseigné.</x:v>
      </x:c>
    </x:row>
    <x:row r="9" ht="33.95000076293945" customHeight="1">
      <x:c r="A9" s="3" t="str">
        <x:v>inclure_dechets</x:v>
      </x:c>
      <x:c r="B9" s="3" t="n">
        <x:v>1</x:v>
      </x:c>
      <x:c r="C9" s="3" t="str">
        <x:v>0/1</x:v>
      </x:c>
      <x:c r="D9" s="3" t="str">
        <x:v>Active coût/CO₂ d’élimination des déchets.</x:v>
      </x:c>
    </x:row>
    <x:row r="10" ht="33.95000076293945" customHeight="1">
      <x:c r="A10" s="3" t="str">
        <x:v>inclure_location</x:v>
      </x:c>
      <x:c r="B10" s="3" t="n">
        <x:v>1</x:v>
      </x:c>
      <x:c r="C10" s="3" t="str">
        <x:v>0/1</x:v>
      </x:c>
      <x:c r="D10" s="3" t="str">
        <x:v>Rythmic / PSE 24 mL HAD.</x:v>
      </x:c>
    </x:row>
    <x:row r="11" ht="33.95000076293945" customHeight="1">
      <x:c r="A11" s="3" t="str">
        <x:v>inclure_equipement_hospitalier</x:v>
      </x:c>
      <x:c r="B11" s="3" t="n">
        <x:v>1</x:v>
      </x:c>
      <x:c r="C11" s="3" t="str">
        <x:v>0/1</x:v>
      </x:c>
      <x:c r="D11" s="3" t="str">
        <x:v>Active amortissement pompe volumétrique/PSE 48 mL intra-hospitalier si renseigné.</x:v>
      </x:c>
    </x:row>
    <x:row r="12">
      <x:c r="A12" s="3" t="str">
        <x:v>inclure_items_a_confirmer</x:v>
      </x:c>
      <x:c r="B12" s="3" t="n">
        <x:v>1</x:v>
      </x:c>
      <x:c r="C12" s="3" t="str">
        <x:v>0/1</x:v>
      </x:c>
      <x:c r="D12" s="3" t="str">
        <x:v>Compte les items marqués 'à confirmer' dans MATERIEL_PAR_METHODE.</x:v>
      </x:c>
    </x:row>
    <x:row r="13">
      <x:c r="A13" s="3" t="str">
        <x:v>duree_traitement_jours_defaut</x:v>
      </x:c>
      <x:c r="B13" s="3" t="n">
        <x:v>1</x:v>
      </x:c>
      <x:c r="C13" s="3" t="str">
        <x:v>jours</x:v>
      </x:c>
      <x:c r="D13" s="3" t="str">
        <x:v>Valeur par défaut si non fournie.</x:v>
      </x:c>
    </x:row>
    <x:row r="14">
      <x:c r="A14" s="3" t="str">
        <x:v>item_lingette_reconstitution</x:v>
      </x:c>
      <x:c r="B14" s="3" t="str">
        <x:v>COMPRESSE_ANTISEPTIQUE</x:v>
      </x:c>
      <x:c r="C14" s="3" t="str">
        <x:v>item_id</x:v>
      </x:c>
      <x:c r="D14" s="3" t="str">
        <x:v>Lingette/compresse antiseptique ajoutée si reconstitution nécessaire.</x:v>
      </x:c>
    </x:row>
    <x:row r="15">
      <x:c r="A15" s="3" t="str">
        <x:v>nb_lingette_par_flacon_reconstitution</x:v>
      </x:c>
      <x:c r="B15" s="3" t="n">
        <x:v>1</x:v>
      </x:c>
      <x:c r="C15" s="3" t="str">
        <x:v>unité/flacon</x:v>
      </x:c>
      <x:c r="D15" s="3" t="str">
        <x:v>Multiplié par le nombre de flacons/jour nécessitant une reconstitution.</x:v>
      </x:c>
    </x:row>
    <x:row r="16">
      <x:c r="A16" s="3" t="str">
        <x:v>item_solvant_reconstitution</x:v>
      </x:c>
      <x:c r="B16" s="3" t="str">
        <x:v>RINCAGE_NACL_10ML</x:v>
      </x:c>
      <x:c r="C16" s="3" t="str">
        <x:v>item_id</x:v>
      </x:c>
      <x:c r="D16" s="3" t="str">
        <x:v>Proxy solvant de reconstitution 10 mL NaCl/EPPI si poudre.</x:v>
      </x:c>
    </x:row>
    <x:row r="17">
      <x:c r="A17" s="3" t="str">
        <x:v>nb_solvant_10ml_par_flacon_reconstitution</x:v>
      </x:c>
      <x:c r="B17" s="3" t="n">
        <x:v>1</x:v>
      </x:c>
      <x:c r="C17" s="3" t="str">
        <x:v>unité/flacon</x:v>
      </x:c>
      <x:c r="D17" s="3" t="str">
        <x:v>Multiplié par le nombre de flacons/jour nécessitant une reconstitution.</x:v>
      </x:c>
    </x:row>
    <x:row r="18">
      <x:c r="A18" s="3" t="str">
        <x:v>item_etiquette_preparation</x:v>
      </x:c>
      <x:c r="B18" s="3" t="str">
        <x:v>ETIQUETTE</x:v>
      </x:c>
      <x:c r="C18" s="3" t="str">
        <x:v>item_id</x:v>
      </x:c>
      <x:c r="D18" s="3" t="str">
        <x:v>Étiquette comptée via MATERIEL_PAR_METHODE par administration.</x:v>
      </x:c>
    </x:row>
    <x:row r="19">
      <x:c r="A19" s="3" t="str">
        <x:v>passage_ide_had_prix_defaut</x:v>
      </x:c>
      <x:c r="B19" s="3" t="n">
        <x:v>60</x:v>
      </x:c>
      <x:c r="C19" s="3" t="str">
        <x:v>€</x:v>
      </x:c>
      <x:c r="D19" s="3" t="str">
        <x:v>À garder identique à cout_passage_ide_had sauf changement volontaire.</x:v>
      </x:c>
    </x:row>
  </x:sheetData>
  <x:mergeCells>
    <x:mergeCell ref="A1:D1"/>
    <x:mergeCell ref="A2:D2"/>
  </x:mergeCells>
  <x:dataValidations count="1">
    <x:dataValidation type="list" sqref="B6:B9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4d1684b1db4fed"/>
  </x:tableParts>
</x:worksheet>
</file>

<file path=xl/worksheets/sheet11.xml><?xml version="1.0" encoding="utf-8"?>
<x:worksheet xmlns:x="http://schemas.openxmlformats.org/spreadsheetml/2006/main">
  <x:sheetFormatPr baseColWidth="10" defaultColWidth="9" defaultRowHeight="14.25"/>
  <x:cols>
    <x:col min="1" max="1" width="24" customWidth="1"/>
    <x:col min="2" max="2" width="92" customWidth="1"/>
  </x:cols>
  <x:sheetData>
    <x:row r="1" ht="27.950000762939453" customHeight="1">
      <x:c r="A1" s="13" t="s">
        <x:v>115</x:v>
      </x:c>
      <x:c r="B1" s="13"/>
    </x:row>
    <x:row r="2" ht="42" customHeight="1">
      <x:c r="A2" s="14" t="s">
        <x:v>116</x:v>
      </x:c>
      <x:c r="B2" s="14"/>
    </x:row>
    <x:row r="3" ht="15">
      <x:c r="A3" s="1" t="s">
        <x:v>117</x:v>
      </x:c>
      <x:c r="B3" s="1" t="s">
        <x:v>118</x:v>
      </x:c>
    </x:row>
    <x:row r="4" ht="33.95000076293945" customHeight="1">
      <x:c r="A4" s="3" t="s">
        <x:v>119</x:v>
      </x:c>
      <x:c r="B4" s="3" t="s">
        <x:v>120</x:v>
      </x:c>
    </x:row>
    <x:row r="5" ht="33.95000076293945" customHeight="1">
      <x:c r="A5" s="3" t="s">
        <x:v>121</x:v>
      </x:c>
      <x:c r="B5" s="3" t="s">
        <x:v>122</x:v>
      </x:c>
    </x:row>
    <x:row r="6" ht="33.95000076293945" customHeight="1">
      <x:c r="A6" s="3" t="s">
        <x:v>123</x:v>
      </x:c>
      <x:c r="B6" s="3" t="s">
        <x:v>124</x:v>
      </x:c>
    </x:row>
    <x:row r="7" ht="33.95000076293945" customHeight="1">
      <x:c r="A7" s="3" t="s">
        <x:v>125</x:v>
      </x:c>
      <x:c r="B7" s="3" t="s">
        <x:v>126</x:v>
      </x:c>
    </x:row>
    <x:row r="8" ht="33.95000076293945" customHeight="1">
      <x:c r="A8" s="3" t="s">
        <x:v>127</x:v>
      </x:c>
      <x:c r="B8" s="3" t="s">
        <x:v>128</x:v>
      </x:c>
    </x:row>
    <x:row r="9" ht="33.95000076293945" customHeight="1">
      <x:c r="A9" s="3" t="s">
        <x:v>129</x:v>
      </x:c>
      <x:c r="B9" s="3" t="s">
        <x:v>130</x:v>
      </x:c>
    </x:row>
    <x:row r="10" ht="33.95000076293945" customHeight="1">
      <x:c r="A10" s="3" t="s">
        <x:v>131</x:v>
      </x:c>
      <x:c r="B10" s="3" t="s">
        <x:v>132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5c0016eda5c24a77"/>
  </x:tableParts>
</x:worksheet>
</file>

<file path=xl/worksheets/sheet12.xml><?xml version="1.0" encoding="utf-8"?>
<x:worksheet xmlns:x="http://schemas.openxmlformats.org/spreadsheetml/2006/main">
  <x:sheetFormatPr baseColWidth="10" defaultColWidth="9" defaultRowHeight="14.25"/>
  <x:cols>
    <x:col min="1" max="1" width="83.18000030517578" hidden="0" customWidth="1"/>
    <x:col min="2" max="2" width="8.079999923706055" hidden="0" customWidth="1"/>
    <x:col min="4" max="4" width="51.68000030517578" hidden="0" customWidth="1"/>
    <x:col min="6" max="6" width="40.779998779296875" hidden="0" customWidth="1"/>
    <x:col min="3" max="3" width="36.20000076293945" hidden="0" customWidth="1"/>
    <x:col min="5" max="5" width="62.04999923706055" hidden="0" customWidth="1"/>
  </x:cols>
  <x:sheetData>
    <x:row r="1" ht="27.950000762939453" customHeight="1">
      <x:c r="A1" s="28" t="s">
        <x:v>133</x:v>
      </x:c>
      <x:c r="B1" s="28"/>
      <x:c r="C1" s="28"/>
      <x:c r="D1" s="28"/>
      <x:c r="E1" s="28"/>
      <x:c r="F1" s="28"/>
    </x:row>
    <x:row r="2" ht="42" customHeight="1">
      <x:c r="A2" s="14" t="s">
        <x:v>134</x:v>
      </x:c>
      <x:c r="B2" s="14"/>
      <x:c r="C2" s="14"/>
      <x:c r="D2" s="14"/>
      <x:c r="E2" s="14"/>
      <x:c r="F2" s="14"/>
    </x:row>
    <x:row r="3" ht="15">
      <x:c r="A3" s="1" t="s">
        <x:v>135</x:v>
      </x:c>
      <x:c r="B3" s="1" t="s">
        <x:v>136</x:v>
      </x:c>
      <x:c r="C3" s="1" t="s">
        <x:v>137</x:v>
      </x:c>
      <x:c r="D3" s="1" t="s">
        <x:v>138</x:v>
      </x:c>
      <x:c r="E3" s="1" t="s">
        <x:v>139</x:v>
      </x:c>
      <x:c r="F3" s="1" t="s">
        <x:v>101</x:v>
      </x:c>
    </x:row>
    <x:row r="4" ht="30" customHeight="1">
      <x:c r="A4" s="11" t="s">
        <x:v>140</x:v>
      </x:c>
      <x:c r="B4" s="3" t="s">
        <x:v>141</x:v>
      </x:c>
      <x:c r="C4" s="3" t="s">
        <x:v>142</x:v>
      </x:c>
      <x:c r="D4" s="3" t="s">
        <x:v>129</x:v>
      </x:c>
      <x:c r="E4" s="3" t="s">
        <x:v>129</x:v>
      </x:c>
      <x:c r="F4" s="3" t="s">
        <x:v>143</x:v>
      </x:c>
    </x:row>
    <x:row r="5" ht="30" customHeight="1">
      <x:c r="A5" s="11" t="s">
        <x:v>140</x:v>
      </x:c>
      <x:c r="B5" s="3" t="s">
        <x:v>141</x:v>
      </x:c>
      <x:c r="C5" s="3" t="s">
        <x:v>144</x:v>
      </x:c>
      <x:c r="D5" s="3" t="s">
        <x:v>129</x:v>
      </x:c>
      <x:c r="E5" s="3" t="s">
        <x:v>129</x:v>
      </x:c>
      <x:c r="F5" s="3" t="s">
        <x:v>143</x:v>
      </x:c>
    </x:row>
    <x:row r="6" ht="30" customHeight="1">
      <x:c r="A6" s="11" t="s">
        <x:v>140</x:v>
      </x:c>
      <x:c r="B6" s="3" t="s">
        <x:v>141</x:v>
      </x:c>
      <x:c r="C6" s="3" t="s">
        <x:v>145</x:v>
      </x:c>
      <x:c r="D6" s="3" t="s">
        <x:v>129</x:v>
      </x:c>
      <x:c r="E6" s="3" t="s">
        <x:v>129</x:v>
      </x:c>
      <x:c r="F6" s="3" t="s">
        <x:v>143</x:v>
      </x:c>
    </x:row>
    <x:row r="7" ht="30" customHeight="1">
      <x:c r="A7" s="11" t="s">
        <x:v>140</x:v>
      </x:c>
      <x:c r="B7" s="3" t="s">
        <x:v>141</x:v>
      </x:c>
      <x:c r="C7" s="3" t="s">
        <x:v>146</x:v>
      </x:c>
      <x:c r="D7" s="3" t="s">
        <x:v>129</x:v>
      </x:c>
      <x:c r="E7" s="3" t="s">
        <x:v>129</x:v>
      </x:c>
      <x:c r="F7" s="3" t="s">
        <x:v>143</x:v>
      </x:c>
    </x:row>
    <x:row r="8" ht="30" customHeight="1">
      <x:c r="A8" s="11" t="s">
        <x:v>140</x:v>
      </x:c>
      <x:c r="B8" s="3" t="s">
        <x:v>141</x:v>
      </x:c>
      <x:c r="C8" s="3" t="s">
        <x:v>147</x:v>
      </x:c>
      <x:c r="D8" s="3" t="s">
        <x:v>129</x:v>
      </x:c>
      <x:c r="E8" s="3" t="s">
        <x:v>129</x:v>
      </x:c>
      <x:c r="F8" s="3" t="s">
        <x:v>143</x:v>
      </x:c>
    </x:row>
    <x:row r="9">
      <x:c r="A9" s="11" t="str">
        <x:v>2026-06-05</x:v>
      </x:c>
      <x:c r="B9" s="3" t="str">
        <x:v>ChatGPT</x:v>
      </x:c>
      <x:c r="C9" s="3" t="str">
        <x:v>FACTEURS_ITEMS</x:v>
      </x:c>
      <x:c r="D9" s="3" t="str">
        <x:v>Correction poids NeoPump 250/500 à 43 g et ANAPA 250 à 150 g</x:v>
      </x:c>
      <x:c r="E9" s="3" t="str">
        <x:v>Validation utilisateur après revue des hypothèses ; poids à revalider par pesée</x:v>
      </x:c>
      <x:c r="F9" s="3" t="str">
        <x:v>Fiches techniques fournies + hypothèses utilisateur</x:v>
      </x:c>
    </x:row>
    <x:row r="10">
      <x:c r="A10" s="11" t="str">
        <x:v>2026-06-05</x:v>
      </x:c>
      <x:c r="B10" s="3" t="str">
        <x:v>ChatGPT</x:v>
      </x:c>
      <x:c r="C10" s="3" t="str">
        <x:v>METHODES/MATERIEL/LOCATIONS</x:v>
      </x:c>
      <x:c r="D10" s="3" t="str">
        <x:v>Renommage PSE_24_HAD_CONT en PSE_24_HAD_DISCONT</x:v>
      </x:c>
      <x:c r="E10" s="3" t="str">
        <x:v>Méthode HAD 24 mL discontinue, ancien identifiant ambigu</x:v>
      </x:c>
      <x:c r="F10" s="3" t="str">
        <x:v>Correction utilisateur</x:v>
      </x:c>
    </x:row>
    <x:row r="11">
      <x:c r="A11" s="11" t="str">
        <x:v>2026-06-05</x:v>
      </x:c>
      <x:c r="B11" s="3" t="str">
        <x:v>ChatGPT</x:v>
      </x:c>
      <x:c r="C11" s="3" t="str">
        <x:v>MATERIEL_PAR_METHODE/FACTEURS_ITEMS</x:v>
      </x:c>
      <x:c r="D11" s="3" t="str">
        <x:v>Harmonisation item_id Rythmic 100/200 mL</x:v>
      </x:c>
      <x:c r="E11" s="3" t="str">
        <x:v>Éviter les non-correspondances lors des jointures</x:v>
      </x:c>
      <x:c r="F11" s="3" t="str">
        <x:v>Correction utilisateur</x:v>
      </x:c>
    </x:row>
    <x:row r="12">
      <x:c r="A12" s="11" t="str">
        <x:v>2026-06-05</x:v>
      </x:c>
      <x:c r="B12" s="3" t="str">
        <x:v>ChatGPT</x:v>
      </x:c>
      <x:c r="C12" s="3" t="str">
        <x:v>DM Perfusion de l'hôpital</x:v>
      </x:c>
      <x:c r="D12" s="3" t="str">
        <x:v>Correction coût PSE 48 mL à 1250 € HT</x:v>
      </x:c>
      <x:c r="E12" s="3" t="str">
        <x:v>1500 € TTC avec TVA 20 %</x:v>
      </x:c>
      <x:c r="F12" s="3" t="str">
        <x:v>Hypothèse utilisateur</x:v>
      </x:c>
    </x:row>
    <x:row r="13">
      <x:c r="A13" s="12" t="str">
        <x:v>2026-06-05 13:21</x:v>
      </x:c>
      <x:c r="B13" t="str">
        <x:v>Ajout onglet ACV ATB</x:v>
      </x:c>
      <x:c r="C13" t="str">
        <x:v>Ajout d’un onglet avec ATB Breaking Stab, flacons/dosages, valeurs ACV provisoires calculées selon structure EcovaMED.</x:v>
      </x:c>
      <x:c r="D13" t="str">
        <x:v>ACV ATB</x:v>
      </x:c>
      <x:c r="E13" t="str">
        <x:v>Assistant</x:v>
      </x:c>
      <x:c r="F13" t="str">
        <x:v>FE PA générique à revalider</x:v>
      </x:c>
    </x:row>
    <x:row r="14">
      <x:c r="A14" s="12" t="str">
        <x:v>2026-06-05</x:v>
      </x:c>
      <x:c r="B14" t="str">
        <x:v>Ajout reconstitution ACV ATB</x:v>
      </x:c>
      <x:c r="C14" t="str">
        <x:v>Ajout aiguille de reconstitution dans FACTEURS_ITEMS et colonnes X:AH dans ACV ATB.</x:v>
      </x:c>
      <x:c r="D14" t="str">
        <x:v>Toutes lignes ACV ATB</x:v>
      </x:c>
      <x:c r="E14" t="str">
        <x:v>Flacon = reconstitution par défaut ; ampoule/poche/plastique = prêt à diluer/administrer.</x:v>
      </x:c>
      <x:c r="F14" t="str">
        <x:v>À revalider par présentation exacte et pratique locale.</x:v>
      </x:c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  <x:row r="21">
      <x:c r="A21" s="12"/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  <x:row r="31">
      <x:c r="A31" s="12"/>
    </x:row>
    <x:row r="32">
      <x:c r="A32" s="12"/>
    </x:row>
    <x:row r="33">
      <x:c r="A33" s="12"/>
    </x:row>
    <x:row r="34">
      <x:c r="A34" s="12"/>
    </x:row>
    <x:row r="35">
      <x:c r="A35" s="12"/>
    </x:row>
    <x:row r="36">
      <x:c r="A36" s="12"/>
    </x:row>
    <x:row r="37">
      <x:c r="A37" s="12"/>
    </x:row>
    <x:row r="38">
      <x:c r="A38" s="12"/>
    </x:row>
    <x:row r="39">
      <x:c r="A39" s="12"/>
    </x:row>
    <x:row r="40">
      <x:c r="A40" s="12"/>
    </x:row>
    <x:row r="41">
      <x:c r="A41" s="12"/>
    </x:row>
    <x:row r="42">
      <x:c r="A42" s="12"/>
    </x:row>
    <x:row r="43">
      <x:c r="A43" s="12"/>
    </x:row>
    <x:row r="44">
      <x:c r="A44" s="12"/>
    </x:row>
    <x:row r="45">
      <x:c r="A45" s="12"/>
    </x:row>
    <x:row r="46">
      <x:c r="A46" s="12"/>
    </x:row>
    <x:row r="47">
      <x:c r="A47" s="12"/>
    </x:row>
    <x:row r="48">
      <x:c r="A48" s="12"/>
    </x:row>
    <x:row r="49">
      <x:c r="A49" s="12"/>
    </x:row>
    <x:row r="50">
      <x:c r="A50" s="12"/>
    </x:row>
    <x:row r="51">
      <x:c r="A51" s="12"/>
    </x:row>
    <x:row r="52">
      <x:c r="A52" s="12"/>
    </x:row>
    <x:row r="53">
      <x:c r="A53" s="12"/>
    </x:row>
    <x:row r="54">
      <x:c r="A54" s="12"/>
    </x:row>
    <x:row r="55">
      <x:c r="A55" s="12"/>
    </x:row>
    <x:row r="56">
      <x:c r="A56" s="12"/>
    </x:row>
    <x:row r="57">
      <x:c r="A57" s="12"/>
    </x:row>
    <x:row r="58">
      <x:c r="A58" s="12"/>
    </x:row>
    <x:row r="59">
      <x:c r="A59" s="12"/>
    </x:row>
    <x:row r="60">
      <x:c r="A60" s="12"/>
    </x:row>
    <x:row r="61">
      <x:c r="A61" s="12"/>
    </x:row>
    <x:row r="62">
      <x:c r="A62" s="12"/>
    </x:row>
    <x:row r="63">
      <x:c r="A63" s="12"/>
    </x:row>
    <x:row r="64">
      <x:c r="A64" s="12"/>
    </x:row>
    <x:row r="65">
      <x:c r="A65" s="12"/>
    </x:row>
    <x:row r="66">
      <x:c r="A66" s="12"/>
    </x:row>
    <x:row r="67">
      <x:c r="A67" s="12"/>
    </x:row>
    <x:row r="68">
      <x:c r="A68" s="12"/>
    </x:row>
    <x:row r="69">
      <x:c r="A69" s="12"/>
    </x:row>
    <x:row r="70">
      <x:c r="A70" s="12"/>
    </x:row>
    <x:row r="71">
      <x:c r="A71" s="12"/>
    </x:row>
    <x:row r="72">
      <x:c r="A72" s="12"/>
    </x:row>
    <x:row r="73">
      <x:c r="A73" s="12"/>
    </x:row>
    <x:row r="74">
      <x:c r="A74" s="12"/>
    </x:row>
    <x:row r="75">
      <x:c r="A75" s="12"/>
    </x:row>
    <x:row r="76">
      <x:c r="A76" s="12"/>
    </x:row>
    <x:row r="77">
      <x:c r="A77" s="12"/>
    </x:row>
    <x:row r="78">
      <x:c r="A78" s="12"/>
    </x:row>
    <x:row r="79">
      <x:c r="A79" s="12"/>
    </x:row>
    <x:row r="80">
      <x:c r="A80" s="12"/>
    </x:row>
    <x:row r="81">
      <x:c r="A81" s="12"/>
    </x:row>
    <x:row r="82">
      <x:c r="A82" s="12"/>
    </x:row>
    <x:row r="83">
      <x:c r="A83" s="12"/>
    </x:row>
    <x:row r="84">
      <x:c r="A84" s="12"/>
    </x:row>
    <x:row r="85">
      <x:c r="A85" s="12"/>
    </x:row>
    <x:row r="86">
      <x:c r="A86" s="12"/>
    </x:row>
    <x:row r="87">
      <x:c r="A87" s="12"/>
    </x:row>
    <x:row r="88">
      <x:c r="A88" s="12"/>
    </x:row>
    <x:row r="89">
      <x:c r="A89" s="12"/>
    </x:row>
    <x:row r="90">
      <x:c r="A90" s="12"/>
    </x:row>
    <x:row r="91">
      <x:c r="A91" s="12"/>
    </x:row>
    <x:row r="92">
      <x:c r="A92" s="12"/>
    </x:row>
    <x:row r="93">
      <x:c r="A93" s="12"/>
    </x:row>
    <x:row r="94">
      <x:c r="A94" s="12"/>
    </x:row>
    <x:row r="95">
      <x:c r="A95" s="12"/>
    </x:row>
    <x:row r="96">
      <x:c r="A96" s="12"/>
    </x:row>
    <x:row r="97">
      <x:c r="A97" s="12"/>
    </x:row>
    <x:row r="98">
      <x:c r="A98" s="12"/>
    </x:row>
    <x:row r="99">
      <x:c r="A99" s="12"/>
    </x:row>
    <x:row r="100">
      <x:c r="A100" s="12"/>
    </x:row>
    <x:row r="101">
      <x:c r="A101" s="12"/>
    </x:row>
    <x:row r="102">
      <x:c r="A102" s="12"/>
    </x:row>
    <x:row r="103">
      <x:c r="A103" s="12"/>
    </x:row>
    <x:row r="104">
      <x:c r="A104" s="12"/>
    </x:row>
    <x:row r="105">
      <x:c r="A105" s="12"/>
    </x:row>
    <x:row r="106">
      <x:c r="A106" s="12"/>
    </x:row>
    <x:row r="107">
      <x:c r="A107" s="12"/>
    </x:row>
    <x:row r="108">
      <x:c r="A108" s="12"/>
    </x:row>
    <x:row r="109">
      <x:c r="A109" s="12"/>
    </x:row>
    <x:row r="110">
      <x:c r="A110" s="12"/>
    </x:row>
    <x:row r="111">
      <x:c r="A111" s="12"/>
    </x:row>
    <x:row r="112">
      <x:c r="A112" s="12"/>
    </x:row>
    <x:row r="113">
      <x:c r="A113" s="12"/>
    </x:row>
    <x:row r="114">
      <x:c r="A114" s="12"/>
    </x:row>
    <x:row r="115">
      <x:c r="A115" s="12"/>
    </x:row>
    <x:row r="116">
      <x:c r="A116" s="12"/>
    </x:row>
    <x:row r="117">
      <x:c r="A117" s="12"/>
    </x:row>
    <x:row r="118">
      <x:c r="A118" s="12"/>
    </x:row>
    <x:row r="119">
      <x:c r="A119" s="12"/>
    </x:row>
    <x:row r="120">
      <x:c r="A120" s="12"/>
    </x:row>
    <x:row r="121">
      <x:c r="A121" s="12"/>
    </x:row>
    <x:row r="122">
      <x:c r="A122" s="12"/>
    </x:row>
    <x:row r="123">
      <x:c r="A123" s="12"/>
    </x:row>
    <x:row r="124">
      <x:c r="A124" s="12"/>
    </x:row>
    <x:row r="125">
      <x:c r="A125" s="12"/>
    </x:row>
    <x:row r="126">
      <x:c r="A126" s="12"/>
    </x:row>
    <x:row r="127">
      <x:c r="A127" s="12"/>
    </x:row>
    <x:row r="128">
      <x:c r="A128" s="12"/>
    </x:row>
    <x:row r="129">
      <x:c r="A129" s="12"/>
    </x:row>
    <x:row r="130">
      <x:c r="A130" s="12"/>
    </x:row>
    <x:row r="131">
      <x:c r="A131" s="12"/>
    </x:row>
    <x:row r="132">
      <x:c r="A132" s="12"/>
    </x:row>
    <x:row r="133">
      <x:c r="A133" s="12"/>
    </x:row>
    <x:row r="134">
      <x:c r="A134" s="12"/>
    </x:row>
    <x:row r="135">
      <x:c r="A135" s="12"/>
    </x:row>
    <x:row r="136">
      <x:c r="A136" s="12"/>
    </x:row>
    <x:row r="137">
      <x:c r="A137" s="12"/>
    </x:row>
    <x:row r="138">
      <x:c r="A138" s="12"/>
    </x:row>
    <x:row r="139">
      <x:c r="A139" s="12"/>
    </x:row>
    <x:row r="140">
      <x:c r="A140" s="12"/>
    </x:row>
    <x:row r="141">
      <x:c r="A141" s="12"/>
    </x:row>
    <x:row r="142">
      <x:c r="A142" s="12"/>
    </x:row>
    <x:row r="143">
      <x:c r="A143" s="12"/>
    </x:row>
    <x:row r="144">
      <x:c r="A144" s="12"/>
    </x:row>
    <x:row r="145">
      <x:c r="A145" s="12"/>
    </x:row>
    <x:row r="146">
      <x:c r="A146" s="12"/>
    </x:row>
    <x:row r="147">
      <x:c r="A147" s="12"/>
    </x:row>
    <x:row r="148">
      <x:c r="A148" s="12"/>
    </x:row>
    <x:row r="149">
      <x:c r="A149" s="12"/>
    </x:row>
    <x:row r="150">
      <x:c r="A150" s="12"/>
    </x:row>
    <x:row r="151">
      <x:c r="A151" s="12"/>
    </x:row>
    <x:row r="152">
      <x:c r="A152" s="12"/>
    </x:row>
    <x:row r="153">
      <x:c r="A153" s="12"/>
    </x:row>
    <x:row r="154">
      <x:c r="A154" s="12"/>
    </x:row>
    <x:row r="155">
      <x:c r="A155" s="12"/>
    </x:row>
    <x:row r="156">
      <x:c r="A156" s="12"/>
    </x:row>
    <x:row r="157">
      <x:c r="A157" s="12"/>
    </x:row>
    <x:row r="158">
      <x:c r="A158" s="12"/>
    </x:row>
    <x:row r="159">
      <x:c r="A159" s="12"/>
    </x:row>
    <x:row r="160">
      <x:c r="A160" s="12"/>
    </x:row>
    <x:row r="161">
      <x:c r="A161" s="12"/>
    </x:row>
    <x:row r="162">
      <x:c r="A162" s="12"/>
    </x:row>
    <x:row r="163">
      <x:c r="A163" s="12"/>
    </x:row>
    <x:row r="164">
      <x:c r="A164" s="12"/>
    </x:row>
    <x:row r="165">
      <x:c r="A165" s="12"/>
    </x:row>
    <x:row r="166">
      <x:c r="A166" s="12"/>
    </x:row>
    <x:row r="167">
      <x:c r="A167" s="12"/>
    </x:row>
    <x:row r="168">
      <x:c r="A168" s="12"/>
    </x:row>
    <x:row r="169">
      <x:c r="A169" s="12"/>
    </x:row>
    <x:row r="170">
      <x:c r="A170" s="12"/>
    </x:row>
    <x:row r="171">
      <x:c r="A171" s="12"/>
    </x:row>
    <x:row r="172">
      <x:c r="A172" s="12"/>
    </x:row>
    <x:row r="173">
      <x:c r="A173" s="12"/>
    </x:row>
    <x:row r="174">
      <x:c r="A174" s="12"/>
    </x:row>
    <x:row r="175">
      <x:c r="A175" s="12"/>
    </x:row>
    <x:row r="176">
      <x:c r="A176" s="12"/>
    </x:row>
    <x:row r="177">
      <x:c r="A177" s="12"/>
    </x:row>
    <x:row r="178">
      <x:c r="A178" s="12"/>
    </x:row>
    <x:row r="179">
      <x:c r="A179" s="12"/>
    </x:row>
    <x:row r="180">
      <x:c r="A180" s="12"/>
    </x:row>
    <x:row r="181">
      <x:c r="A181" s="12"/>
    </x:row>
    <x:row r="182">
      <x:c r="A182" s="12"/>
    </x:row>
    <x:row r="183">
      <x:c r="A183" s="12"/>
    </x:row>
    <x:row r="184">
      <x:c r="A184" s="12"/>
    </x:row>
    <x:row r="185">
      <x:c r="A185" s="12"/>
    </x:row>
    <x:row r="186">
      <x:c r="A186" s="12"/>
    </x:row>
    <x:row r="187">
      <x:c r="A187" s="12"/>
    </x:row>
    <x:row r="188">
      <x:c r="A188" s="12"/>
    </x:row>
    <x:row r="189">
      <x:c r="A189" s="12"/>
    </x:row>
    <x:row r="190">
      <x:c r="A190" s="12"/>
    </x:row>
    <x:row r="191">
      <x:c r="A191" s="12"/>
    </x:row>
    <x:row r="192">
      <x:c r="A192" s="12"/>
    </x:row>
    <x:row r="193">
      <x:c r="A193" s="12"/>
    </x:row>
    <x:row r="194">
      <x:c r="A194" s="12"/>
    </x:row>
    <x:row r="195">
      <x:c r="A195" s="12"/>
    </x:row>
    <x:row r="196">
      <x:c r="A196" s="12"/>
    </x:row>
    <x:row r="197">
      <x:c r="A197" s="12"/>
    </x:row>
    <x:row r="198">
      <x:c r="A198" s="12"/>
    </x:row>
    <x:row r="199">
      <x:c r="A199" s="12"/>
    </x:row>
    <x:row r="200">
      <x:c r="A200" s="12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00f600d5ba14986"/>
  </x:tableParts>
</x:worksheet>
</file>

<file path=xl/worksheets/sheet13.xml><?xml version="1.0" encoding="utf-8"?>
<x:worksheet xmlns:x="http://schemas.openxmlformats.org/spreadsheetml/2006/main">
  <x:sheetFormatPr baseColWidth="10" defaultRowHeight="14.25"/>
  <x:cols>
    <x:col min="1" max="1" width="24" hidden="0" customWidth="1"/>
    <x:col min="2" max="2" width="26" hidden="0" customWidth="1"/>
    <x:col min="3" max="3" width="14" hidden="0" customWidth="1"/>
    <x:col min="4" max="4" width="20" hidden="0" customWidth="1"/>
    <x:col min="5" max="5" width="10" hidden="0" customWidth="1"/>
    <x:col min="6" max="6" width="20" hidden="0" customWidth="1"/>
    <x:col min="7" max="7" width="10" hidden="0" customWidth="1"/>
    <x:col min="8" max="8" width="20" hidden="0" customWidth="1"/>
    <x:col min="9" max="9" width="10" hidden="0" customWidth="1"/>
    <x:col min="10" max="10" width="13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22" hidden="0" customWidth="1"/>
    <x:col min="21" max="21" width="22" hidden="0" customWidth="1"/>
    <x:col min="22" max="22" width="32" hidden="0" customWidth="1"/>
    <x:col min="23" max="23" width="42" hidden="0" customWidth="1"/>
    <x:col min="24" max="24" width="24" hidden="0" customWidth="1"/>
    <x:col min="25" max="25" width="38" hidden="0" customWidth="1"/>
    <x:col min="26" max="26" width="12" hidden="0" customWidth="1"/>
    <x:col min="27" max="27" width="24" hidden="0" customWidth="1"/>
    <x:col min="28" max="28" width="16" hidden="0" customWidth="1"/>
    <x:col min="29" max="29" width="12" hidden="0" customWidth="1"/>
    <x:col min="30" max="30" width="24" hidden="0" customWidth="1"/>
    <x:col min="31" max="31" width="16" hidden="0" customWidth="1"/>
    <x:col min="32" max="32" width="16" hidden="0" customWidth="1"/>
    <x:col min="33" max="33" width="18" hidden="0" customWidth="1"/>
    <x:col min="34" max="34" width="38" hidden="0" customWidth="1"/>
  </x:cols>
  <x:sheetData>
    <x:row r="1" ht="28" customHeight="1">
      <x:c r="A1" s="37" t="str">
        <x:v>ACV ATB — flacons/dosages Breaking Stab (valeurs provisoires calculables)</x:v>
      </x:c>
      <x:c r="B1"/>
      <x:c r="E1" s="47"/>
      <x:c r="G1" s="47"/>
      <x:c r="I1" s="47"/>
      <x:c r="J1" s="47"/>
      <x:c r="K1" s="48"/>
      <x:c r="L1" s="48"/>
      <x:c r="M1" s="48"/>
      <x:c r="N1" s="47"/>
      <x:c r="O1" s="48"/>
      <x:c r="P1" s="48"/>
      <x:c r="Q1" s="47"/>
      <x:c r="R1" s="48"/>
      <x:c r="S1" s="48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3">
      <x:c r="A3" s="40" t="str">
        <x:v>NOTE</x:v>
      </x:c>
      <x:c r="B3" s="3" t="str">
        <x:v>Les valeurs ci-dessous utilisent la structure EcovaMED : masse de PA × FE PA, pertes de fabrication, transport amont PA, conditionnement primaire et emballage secondaire. Le FE PA spécifique n’est pas fourni dans la matrice ; un FE PA générique provisoire est utilisé et doit être remplacé dès qu’un FE PA fournisseur/EcovaMED calculé est disponible.</x:v>
      </x:c>
      <x:c r="D3" s="42" t="str">
        <x:v>Paramètre</x:v>
      </x:c>
      <x:c r="E3" s="42" t="str">
        <x:v>Valeur</x:v>
      </x:c>
      <x:c r="F3" s="42" t="str">
        <x:v>Unité</x:v>
      </x:c>
      <x:c r="G3" s="42" t="str">
        <x:v>Source / commentaire</x:v>
      </x:c>
    </x:row>
    <x:row r="4">
      <x:c r="A4" s="40" t="str">
        <x:v>Source ATB</x:v>
      </x:c>
      <x:c r="B4" s="3" t="str">
        <x:v>Liste issue de l’outil Breaking Stab / onglet STABILITE et sources CHICAS/Micrel intégrées.</x:v>
      </x:c>
      <x:c r="D4" s="44" t="str">
        <x:v>FE_PA_generique_provisoire</x:v>
      </x:c>
      <x:c r="E4" s="6" t="n">
        <x:v>100</x:v>
      </x:c>
      <x:c r="F4" t="str">
        <x:v>kgCO2e/kg PA</x:v>
      </x:c>
      <x:c r="G4" s="3" t="str">
        <x:v>Hypothèse interne provisoire à remplacer par FE PA fournisseur/EcovaMED calculateur</x:v>
      </x:c>
    </x:row>
    <x:row r="5">
      <x:c r="A5" s="40" t="str">
        <x:v>Source coefficients</x:v>
      </x:c>
      <x:c r="B5" s="3" t="str">
        <x:v>Matrice EcovaMED v0.7 : pertes PA 5 %, transport excipients/conditionnements 0,095 kgCO2e/kg, flacon verre Europe 7,1 kgCO2e/kg, ampoule verre Europe 5,0 kgCO2e/kg, flacon plastique Europe 4,2 kgCO2e/kg, conditionnement tertiaire carton 1,16 kgCO2e/kg.</x:v>
      </x:c>
      <x:c r="D5" s="44" t="str">
        <x:v>Taux_perte_PA</x:v>
      </x:c>
      <x:c r="E5" s="6" t="n">
        <x:v>5</x:v>
      </x:c>
      <x:c r="F5" t="str">
        <x:v>%</x:v>
      </x:c>
      <x:c r="G5" s="3" t="str">
        <x:v>EcovaMED matrice médicament, valeur par défaut</x:v>
      </x:c>
    </x:row>
    <x:row r="6">
      <x:c r="A6" s="40" t="str">
        <x:v>Périmètre</x:v>
      </x:c>
      <x:c r="B6" s="3" t="str">
        <x:v>ACV par flacon/unité de médicament avant ajout des DM de perfusion ; destruction/excrétion/administration non incluses ici.</x:v>
      </x:c>
      <x:c r="D6" s="44" t="str">
        <x:v>FE_transport_amont_PA</x:v>
      </x:c>
      <x:c r="E6" s="6" t="n">
        <x:v>0.095</x:v>
      </x:c>
      <x:c r="F6" t="str">
        <x:v>kgCO2e/kg</x:v>
      </x:c>
      <x:c r="G6" s="3" t="str">
        <x:v>EcovaMED, transport vers site de fabrication</x:v>
      </x:c>
    </x:row>
    <x:row r="7">
      <x:c r="D7" s="44" t="str">
        <x:v>FE_flacon_verre_Europe</x:v>
      </x:c>
      <x:c r="E7" s="6" t="n">
        <x:v>7.1</x:v>
      </x:c>
      <x:c r="F7" t="str">
        <x:v>kgCO2e/kg</x:v>
      </x:c>
      <x:c r="G7" s="3" t="str">
        <x:v>EcovaMED, conditionnement primaire</x:v>
      </x:c>
    </x:row>
    <x:row r="8">
      <x:c r="D8" s="44" t="str">
        <x:v>FE_ampoule_verre_Europe</x:v>
      </x:c>
      <x:c r="E8" s="6" t="n">
        <x:v>5</x:v>
      </x:c>
      <x:c r="F8" t="str">
        <x:v>kgCO2e/kg</x:v>
      </x:c>
      <x:c r="G8" s="3" t="str">
        <x:v>EcovaMED, conditionnement primaire</x:v>
      </x:c>
    </x:row>
    <x:row r="9">
      <x:c r="D9" s="44" t="str">
        <x:v>FE_flacon_plastique_Europe</x:v>
      </x:c>
      <x:c r="E9" s="6" t="n">
        <x:v>4.2</x:v>
      </x:c>
      <x:c r="F9" t="str">
        <x:v>kgCO2e/kg</x:v>
      </x:c>
      <x:c r="G9" s="3" t="str">
        <x:v>EcovaMED, conditionnement primaire</x:v>
      </x:c>
    </x:row>
    <x:row r="10">
      <x:c r="D10" s="44" t="str">
        <x:v>FE_carton_secondaire</x:v>
      </x:c>
      <x:c r="E10" s="6" t="n">
        <x:v>1.16</x:v>
      </x:c>
      <x:c r="F10" t="str">
        <x:v>kgCO2e/kg</x:v>
      </x:c>
      <x:c r="G10" s="3" t="str">
        <x:v>EcovaMED, conditionnement tertiaire carton</x:v>
      </x:c>
    </x:row>
    <x:row r="11">
      <x:c r="D11" s="44" t="str">
        <x:v>Poids_flacon_verre_defaut</x:v>
      </x:c>
      <x:c r="E11" s="6" t="n">
        <x:v>10</x:v>
      </x:c>
      <x:c r="F11" t="str">
        <x:v>g</x:v>
      </x:c>
      <x:c r="G11" s="3" t="str">
        <x:v>Hypothèse interne à remplacer si poids fournisseur disponible</x:v>
      </x:c>
    </x:row>
    <x:row r="12">
      <x:c r="D12" s="44" t="str">
        <x:v>Poids_ampoule_defaut</x:v>
      </x:c>
      <x:c r="E12" s="6" t="n">
        <x:v>5</x:v>
      </x:c>
      <x:c r="F12" t="str">
        <x:v>g</x:v>
      </x:c>
      <x:c r="G12" s="3" t="str">
        <x:v>Hypothèse interne à remplacer si poids fournisseur disponible</x:v>
      </x:c>
    </x:row>
    <x:row r="13">
      <x:c r="D13" s="44" t="str">
        <x:v>Poids_poche_PEA_defaut</x:v>
      </x:c>
      <x:c r="E13" s="6" t="n">
        <x:v>20</x:v>
      </x:c>
      <x:c r="F13" t="str">
        <x:v>g</x:v>
      </x:c>
      <x:c r="G13" s="3" t="str">
        <x:v>Hypothèse interne pour poches/prêt-à-l’emploi</x:v>
      </x:c>
    </x:row>
    <x:row r="14">
      <x:c r="D14" s="44" t="str">
        <x:v>Poids_carton_proratise_defaut</x:v>
      </x:c>
      <x:c r="E14" s="6" t="n">
        <x:v>3</x:v>
      </x:c>
      <x:c r="F14" t="str">
        <x:v>g/unité</x:v>
      </x:c>
      <x:c r="G14" s="3" t="str">
        <x:v>Hypothèse interne emballage secondaire/tertiaire proratisé</x:v>
      </x:c>
    </x:row>
    <x:row r="15">
      <x:c r="A15" t="str">
        <x:v>Ajout reconstitution</x:v>
      </x:c>
      <x:c r="B15" t="str">
        <x:v>Les colonnes X:AH classent les présentations en “reconstitution nécessaire” vs “prêt à être dilué/administré” par règle provisoire : flacon = reconstitution ; ampoule/poche/plastique = prêt. Les DM de reconstitution ajoutés par défaut sont 1 seringue 24 mL + 1 aiguille. À revalider par présentation exacte.</x:v>
      </x:c>
      <x:c r="D15" t="str">
        <x:v>DM_reconstitution_defaut</x:v>
      </x:c>
      <x:c r="E15" t="str">
        <x:v>1 seringue 24 mL + 1 aiguille</x:v>
      </x:c>
      <x:c r="F15" t="str">
        <x:v>par flacon si reconstitution</x:v>
      </x:c>
      <x:c r="G15" t="str">
        <x:v>Hypothèse interne, à ajuster si plusieurs flacons/dose ou pratiques locales</x:v>
      </x:c>
    </x:row>
    <x:row r="17" ht="36" customHeight="1">
      <x:c r="A17" s="46" t="str">
        <x:v>molecule_outil</x:v>
      </x:c>
      <x:c r="B17" s="46" t="str">
        <x:v>presentation_flacon_dosage</x:v>
      </x:c>
      <x:c r="C17" s="46" t="str">
        <x:v>type_presentation</x:v>
      </x:c>
      <x:c r="D17" s="46" t="str">
        <x:v>PA1</x:v>
      </x:c>
      <x:c r="E17" s="46" t="str">
        <x:v>PA1_mg</x:v>
      </x:c>
      <x:c r="F17" s="46" t="str">
        <x:v>PA2</x:v>
      </x:c>
      <x:c r="G17" s="46" t="str">
        <x:v>PA2_mg</x:v>
      </x:c>
      <x:c r="H17" s="46" t="str">
        <x:v>PA3</x:v>
      </x:c>
      <x:c r="I17" s="46" t="str">
        <x:v>PA3_mg</x:v>
      </x:c>
      <x:c r="J17" s="46" t="str">
        <x:v>masse_PA_totale_g</x:v>
      </x:c>
      <x:c r="K17" s="46" t="str">
        <x:v>FE_PA_retenu_kgCO2e_kg</x:v>
      </x:c>
      <x:c r="L17" s="46" t="str">
        <x:v>ACV_PA_kgCO2e</x:v>
      </x:c>
      <x:c r="M17" s="46" t="str">
        <x:v>ACV_transport_PA_kgCO2e</x:v>
      </x:c>
      <x:c r="N17" s="46" t="str">
        <x:v>poids_conditionnement_primaire_g</x:v>
      </x:c>
      <x:c r="O17" s="46" t="str">
        <x:v>FE_conditionnement_primaire</x:v>
      </x:c>
      <x:c r="P17" s="46" t="str">
        <x:v>ACV_conditionnement_primaire_kgCO2e</x:v>
      </x:c>
      <x:c r="Q17" s="46" t="str">
        <x:v>poids_carton_proratise_g</x:v>
      </x:c>
      <x:c r="R17" s="46" t="str">
        <x:v>ACV_carton_secondaire_kgCO2e</x:v>
      </x:c>
      <x:c r="S17" s="46" t="str">
        <x:v>ACV_flacon_total_kgCO2e</x:v>
      </x:c>
      <x:c r="T17" s="46" t="str">
        <x:v>niveau_incertitude</x:v>
      </x:c>
      <x:c r="U17" s="46" t="str">
        <x:v>source_ATB</x:v>
      </x:c>
      <x:c r="V17" s="46" t="str">
        <x:v>source_coefficients</x:v>
      </x:c>
      <x:c r="W17" s="46" t="str">
        <x:v>commentaire</x:v>
      </x:c>
      <x:c r="X17" s="54" t="str">
        <x:v>statut_preparation</x:v>
      </x:c>
      <x:c r="Y17" s="54" t="str">
        <x:v>hypothese_reconstitution</x:v>
      </x:c>
      <x:c r="Z17" s="54" t="str">
        <x:v>nb_seringue_reconstitution</x:v>
      </x:c>
      <x:c r="AA17" s="54" t="str">
        <x:v>item_seringue_reconstitution</x:v>
      </x:c>
      <x:c r="AB17" s="54" t="str">
        <x:v>ACV_seringue_reconstitution_kgCO2e</x:v>
      </x:c>
      <x:c r="AC17" s="54" t="str">
        <x:v>nb_aiguille_reconstitution</x:v>
      </x:c>
      <x:c r="AD17" s="54" t="str">
        <x:v>item_aiguille_reconstitution</x:v>
      </x:c>
      <x:c r="AE17" s="54" t="str">
        <x:v>ACV_aiguille_reconstitution_kgCO2e</x:v>
      </x:c>
      <x:c r="AF17" s="54" t="str">
        <x:v>ACV_DM_reconstitution_kgCO2e</x:v>
      </x:c>
      <x:c r="AG17" s="54" t="str">
        <x:v>ACV_medicament_total_avec_reconstitution_kgCO2e</x:v>
      </x:c>
      <x:c r="AH17" s="54" t="str">
        <x:v>commentaire_preparation</x:v>
      </x:c>
    </x:row>
    <x:row r="18">
      <x:c r="A18" s="49" t="str">
        <x:v>Aciclovir</x:v>
      </x:c>
      <x:c r="B18" s="49" t="str">
        <x:v>Flacon 250 mg</x:v>
      </x:c>
      <x:c r="C18" s="49" t="str">
        <x:v>flacon verre</x:v>
      </x:c>
      <x:c r="D18" s="49" t="str">
        <x:v>Aciclovir</x:v>
      </x:c>
      <x:c r="E18" s="49" t="n">
        <x:v>250</x:v>
      </x:c>
      <x:c r="F18" s="49" t="str"/>
      <x:c r="G18" s="49"/>
      <x:c r="H18" s="49" t="str"/>
      <x:c r="I18" s="49"/>
      <x:c r="J18" s="49" t="n">
        <x:f>IFERROR(SUM(E18,G18,I18)/1000,"")</x:f>
        <x:v>0.25</x:v>
      </x:c>
      <x:c r="K18" s="49" t="n">
        <x:f>$E$4</x:f>
        <x:v>100</x:v>
      </x:c>
      <x:c r="L18" s="49" t="n">
        <x:f>IF(J18="","",J18/1000*K18*(1+$E$5/100))</x:f>
        <x:v>0.026250000000000002</x:v>
      </x:c>
      <x:c r="M18" s="49" t="n">
        <x:f>IF(J18="","",J18/1000*$E$6)</x:f>
        <x:v>0.00002375</x:v>
      </x:c>
      <x:c r="N18" s="49" t="n">
        <x:f>IF(C18="ampoule verre",$E$12,IF(C18="poche PEA",$E$13,$E$11))</x:f>
        <x:v>10</x:v>
      </x:c>
      <x:c r="O18" s="49" t="n">
        <x:f>IF(C18="ampoule verre",$E$8,IF(C18="poche PEA",$E$9,$E$7))</x:f>
        <x:v>7.1</x:v>
      </x:c>
      <x:c r="P18" s="49" t="n">
        <x:f>N18/1000*O18*(1+$E$5/100)</x:f>
        <x:v>0.07454999999999999</x:v>
      </x:c>
      <x:c r="Q18" s="49" t="n">
        <x:f>$E$14</x:f>
        <x:v>3</x:v>
      </x:c>
      <x:c r="R18" s="49" t="n">
        <x:f>Q18/1000*$E$10</x:f>
        <x:v>0.00348</x:v>
      </x:c>
      <x:c r="S18" s="49" t="n">
        <x:f>IF(J18="","",SUM(L18:M18,P18,R18))</x:f>
        <x:v>0.10430374999999999</x:v>
      </x:c>
      <x:c r="T18" s="49" t="str">
        <x:f>IF(OR(J18="",K18=$E$4),"Élevé - FE PA générique",IF(W18&lt;&gt;"","À vérifier","Moyen"))</x:f>
        <x:v>Élevé - FE PA générique</x:v>
      </x:c>
      <x:c r="U18" s="49" t="str">
        <x:v>Breaking Stab</x:v>
      </x:c>
      <x:c r="V18" s="49" t="str">
        <x:v>EcovaMED v0.7 + hypothèses internes explicites</x:v>
      </x:c>
      <x:c r="W18" s="49" t="str"/>
      <x:c r="X18" t="str">
        <x:f>IF(A18="","",IF(OR(ISNUMBER(SEARCH("poche",C18)),ISNUMBER(SEARCH("ampoule",C18)),ISNUMBER(SEARCH("plastique",C18))),"Prêt à être dilué / administré (hypothèse)","Reconstitution nécessaire (hypothèse)"))</x:f>
        <x:v>Reconstitution nécessaire (hypothèse)</x:v>
      </x:c>
      <x:c r="Y18" t="str">
        <x:f>IF(A18="","",IF(ISNUMBER(SEARCH("Reconstitution",X18)),"Flacon/poudre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18" t="n">
        <x:f>IF(A18="","",IF(ISNUMBER(SEARCH("Reconstitution",X18)),1,0))</x:f>
        <x:v>1</x:v>
      </x:c>
      <x:c r="AA18" t="str">
        <x:f>IF(Z18&gt;0,"SERINGUE_PP_24ML","")</x:f>
        <x:v>SERINGUE_PP_24ML</x:v>
      </x:c>
      <x:c r="AB18" s="48" t="n">
        <x:f>IF(Z18&gt;0,Z18*VLOOKUP(AA18,FACTEURS_ITEMS!$A$3:$J$30,4,FALSE),0)</x:f>
        <x:v>0.069</x:v>
      </x:c>
      <x:c r="AC18" t="n">
        <x:f>IF(A18="","",IF(ISNUMBER(SEARCH("Reconstitution",X18)),1,0))</x:f>
        <x:v>1</x:v>
      </x:c>
      <x:c r="AD18" t="str">
        <x:f>IF(AC18&gt;0,"AIGUILLE_RECONSTITUTION","")</x:f>
        <x:v>AIGUILLE_RECONSTITUTION</x:v>
      </x:c>
      <x:c r="AE18" s="48" t="n">
        <x:f>IF(AC18&gt;0,AC18*VLOOKUP(AD18,FACTEURS_ITEMS!$A$3:$J$30,4,FALSE),0)</x:f>
        <x:v>0.01</x:v>
      </x:c>
      <x:c r="AF18" s="48" t="n">
        <x:f>IF(A18="","",AB18+AE18)</x:f>
        <x:v>0.079</x:v>
      </x:c>
      <x:c r="AG18" s="48" t="n">
        <x:f>IF(A18="","",S18+AF18)</x:f>
        <x:v>0.18330375</x:v>
      </x:c>
      <x:c r="AH18" t="str">
        <x:f>IF(A18="","",IF(AF18&gt;0,"ACV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19">
      <x:c r="A19" s="49" t="str">
        <x:v>Aciclovir</x:v>
      </x:c>
      <x:c r="B19" s="49" t="str">
        <x:v>Flacon 500 mg</x:v>
      </x:c>
      <x:c r="C19" s="49" t="str">
        <x:v>flacon verre</x:v>
      </x:c>
      <x:c r="D19" s="49" t="str">
        <x:v>Aciclovir</x:v>
      </x:c>
      <x:c r="E19" s="49" t="n">
        <x:v>500</x:v>
      </x:c>
      <x:c r="F19" s="49" t="str"/>
      <x:c r="G19" s="49"/>
      <x:c r="H19" s="49" t="str"/>
      <x:c r="I19" s="49"/>
      <x:c r="J19" s="49" t="n">
        <x:f>IFERROR(SUM(E19,G19,I19)/1000,"")</x:f>
        <x:v>0.5</x:v>
      </x:c>
      <x:c r="K19" s="49" t="n">
        <x:f>$E$4</x:f>
        <x:v>100</x:v>
      </x:c>
      <x:c r="L19" s="49" t="n">
        <x:f>IF(J19="","",J19/1000*K19*(1+$E$5/100))</x:f>
        <x:v>0.052500000000000005</x:v>
      </x:c>
      <x:c r="M19" s="49" t="n">
        <x:f>IF(J19="","",J19/1000*$E$6)</x:f>
        <x:v>0.0000475</x:v>
      </x:c>
      <x:c r="N19" s="49" t="n">
        <x:f>IF(C19="ampoule verre",$E$12,IF(C19="poche PEA",$E$13,$E$11))</x:f>
        <x:v>10</x:v>
      </x:c>
      <x:c r="O19" s="49" t="n">
        <x:f>IF(C19="ampoule verre",$E$8,IF(C19="poche PEA",$E$9,$E$7))</x:f>
        <x:v>7.1</x:v>
      </x:c>
      <x:c r="P19" s="49" t="n">
        <x:f>N19/1000*O19*(1+$E$5/100)</x:f>
        <x:v>0.07454999999999999</x:v>
      </x:c>
      <x:c r="Q19" s="49" t="n">
        <x:f>$E$14</x:f>
        <x:v>3</x:v>
      </x:c>
      <x:c r="R19" s="49" t="n">
        <x:f>Q19/1000*$E$10</x:f>
        <x:v>0.00348</x:v>
      </x:c>
      <x:c r="S19" s="49" t="n">
        <x:f>IF(J19="","",SUM(L19:M19,P19,R19))</x:f>
        <x:v>0.1305775</x:v>
      </x:c>
      <x:c r="T19" s="49" t="str">
        <x:f>IF(OR(J19="",K19=$E$4),"Élevé - FE PA générique",IF(W19&lt;&gt;"","À vérifier","Moyen"))</x:f>
        <x:v>Élevé - FE PA générique</x:v>
      </x:c>
      <x:c r="U19" s="49" t="str">
        <x:v>Breaking Stab</x:v>
      </x:c>
      <x:c r="V19" s="49" t="str">
        <x:v>EcovaMED v0.7 + hypothèses internes explicites</x:v>
      </x:c>
      <x:c r="W19" s="49" t="str"/>
      <x:c r="X19" t="str">
        <x:f>IF(A19="","",IF(OR(ISNUMBER(SEARCH("poche",C19)),ISNUMBER(SEARCH("ampoule",C19)),ISNUMBER(SEARCH("plastique",C19))),"Prêt à être dilué / administré (hypothèse)","Reconstitution nécessaire (hypothèse)"))</x:f>
        <x:v>Reconstitution nécessaire (hypothèse)</x:v>
      </x:c>
      <x:c r="Y19" t="str">
        <x:f>IF(A19="","",IF(ISNUMBER(SEARCH("Reconstitution",X19)),"Flacon/poudre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19" t="n">
        <x:f>IF(A19="","",IF(ISNUMBER(SEARCH("Reconstitution",X19)),1,0))</x:f>
        <x:v>1</x:v>
      </x:c>
      <x:c r="AA19" t="str">
        <x:f>IF(Z19&gt;0,"SERINGUE_PP_24ML","")</x:f>
        <x:v>SERINGUE_PP_24ML</x:v>
      </x:c>
      <x:c r="AB19" s="48" t="n">
        <x:f>IF(Z19&gt;0,Z19*VLOOKUP(AA19,FACTEURS_ITEMS!$A$3:$J$30,4,FALSE),0)</x:f>
        <x:v>0.069</x:v>
      </x:c>
      <x:c r="AC19" t="n">
        <x:f>IF(A19="","",IF(ISNUMBER(SEARCH("Reconstitution",X19)),1,0))</x:f>
        <x:v>1</x:v>
      </x:c>
      <x:c r="AD19" t="str">
        <x:f>IF(AC19&gt;0,"AIGUILLE_RECONSTITUTION","")</x:f>
        <x:v>AIGUILLE_RECONSTITUTION</x:v>
      </x:c>
      <x:c r="AE19" s="48" t="n">
        <x:f>IF(AC19&gt;0,AC19*VLOOKUP(AD19,FACTEURS_ITEMS!$A$3:$J$30,4,FALSE),0)</x:f>
        <x:v>0.01</x:v>
      </x:c>
      <x:c r="AF19" s="48" t="n">
        <x:f>IF(A19="","",AB19+AE19)</x:f>
        <x:v>0.079</x:v>
      </x:c>
      <x:c r="AG19" s="48" t="n">
        <x:f>IF(A19="","",S19+AF19)</x:f>
        <x:v>0.20957750000000003</x:v>
      </x:c>
      <x:c r="AH19" t="str">
        <x:f>IF(A19="","",IF(AF19&gt;0,"ACV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0">
      <x:c r="A20" s="49" t="str">
        <x:v>Amikacine</x:v>
      </x:c>
      <x:c r="B20" s="49" t="str">
        <x:v>Flacon/ampoule 250 mg</x:v>
      </x:c>
      <x:c r="C20" s="49" t="str">
        <x:v>ampoule verre</x:v>
      </x:c>
      <x:c r="D20" s="49" t="str">
        <x:v>Amikacine</x:v>
      </x:c>
      <x:c r="E20" s="49" t="n">
        <x:v>250</x:v>
      </x:c>
      <x:c r="F20" s="49" t="str"/>
      <x:c r="G20" s="49"/>
      <x:c r="H20" s="49" t="str"/>
      <x:c r="I20" s="49"/>
      <x:c r="J20" s="49" t="n">
        <x:f>IFERROR(SUM(E20,G20,I20)/1000,"")</x:f>
        <x:v>0.25</x:v>
      </x:c>
      <x:c r="K20" s="49" t="n">
        <x:f>$E$4</x:f>
        <x:v>100</x:v>
      </x:c>
      <x:c r="L20" s="49" t="n">
        <x:f>IF(J20="","",J20/1000*K20*(1+$E$5/100))</x:f>
        <x:v>0.026250000000000002</x:v>
      </x:c>
      <x:c r="M20" s="49" t="n">
        <x:f>IF(J20="","",J20/1000*$E$6)</x:f>
        <x:v>0.00002375</x:v>
      </x:c>
      <x:c r="N20" s="49" t="n">
        <x:f>IF(C20="ampoule verre",$E$12,IF(C20="poche PEA",$E$13,$E$11))</x:f>
        <x:v>5</x:v>
      </x:c>
      <x:c r="O20" s="49" t="n">
        <x:f>IF(C20="ampoule verre",$E$8,IF(C20="poche PEA",$E$9,$E$7))</x:f>
        <x:v>5</x:v>
      </x:c>
      <x:c r="P20" s="49" t="n">
        <x:f>N20/1000*O20*(1+$E$5/100)</x:f>
        <x:v>0.026250000000000002</x:v>
      </x:c>
      <x:c r="Q20" s="49" t="n">
        <x:f>$E$14</x:f>
        <x:v>3</x:v>
      </x:c>
      <x:c r="R20" s="49" t="n">
        <x:f>Q20/1000*$E$10</x:f>
        <x:v>0.00348</x:v>
      </x:c>
      <x:c r="S20" s="49" t="n">
        <x:f>IF(J20="","",SUM(L20:M20,P20,R20))</x:f>
        <x:v>0.056003750000000005</x:v>
      </x:c>
      <x:c r="T20" s="49" t="str">
        <x:f>IF(OR(J20="",K20=$E$4),"Élevé - FE PA générique",IF(W20&lt;&gt;"","À vérifier","Moyen"))</x:f>
        <x:v>Élevé - FE PA générique</x:v>
      </x:c>
      <x:c r="U20" s="49" t="str">
        <x:v>Breaking Stab</x:v>
      </x:c>
      <x:c r="V20" s="49" t="str">
        <x:v>EcovaMED v0.7 + hypothèses internes explicites</x:v>
      </x:c>
      <x:c r="W20" s="49" t="str"/>
      <x:c r="X20" t="str">
        <x:f>IF(A20="","",IF(OR(ISNUMBER(SEARCH("poche",C20)),ISNUMBER(SEARCH("ampoule",C20)),ISNUMBER(SEARCH("plastique",C20))),"Prêt à être dilué / administré (hypothèse)","Reconstitution nécessaire (hypothèse)"))</x:f>
        <x:v>Prêt à être dilué / administré (hypothèse)</x:v>
      </x:c>
      <x:c r="Y20" t="str">
        <x:f>IF(A20="","",IF(ISNUMBER(SEARCH("Reconstitution",X20)),"Flacon/poudre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20" t="n">
        <x:f>IF(A20="","",IF(ISNUMBER(SEARCH("Reconstitution",X20)),1,0))</x:f>
        <x:v>0</x:v>
      </x:c>
      <x:c r="AA20" t="str">
        <x:f>IF(Z20&gt;0,"SERINGUE_PP_24ML","")</x:f>
      </x:c>
      <x:c r="AB20" s="48" t="n">
        <x:f>IF(Z20&gt;0,Z20*VLOOKUP(AA20,FACTEURS_ITEMS!$A$3:$J$30,4,FALSE),0)</x:f>
        <x:v>0</x:v>
      </x:c>
      <x:c r="AC20" t="n">
        <x:f>IF(A20="","",IF(ISNUMBER(SEARCH("Reconstitution",X20)),1,0))</x:f>
        <x:v>0</x:v>
      </x:c>
      <x:c r="AD20" t="str">
        <x:f>IF(AC20&gt;0,"AIGUILLE_RECONSTITUTION","")</x:f>
      </x:c>
      <x:c r="AE20" s="48" t="n">
        <x:f>IF(AC20&gt;0,AC20*VLOOKUP(AD20,FACTEURS_ITEMS!$A$3:$J$30,4,FALSE),0)</x:f>
        <x:v>0</x:v>
      </x:c>
      <x:c r="AF20" s="48" t="n">
        <x:f>IF(A20="","",AB20+AE20)</x:f>
        <x:v>0</x:v>
      </x:c>
      <x:c r="AG20" s="48" t="n">
        <x:f>IF(A20="","",S20+AF20)</x:f>
        <x:v>0.056003750000000005</x:v>
      </x:c>
      <x:c r="AH20" t="str">
        <x:f>IF(A20="","",IF(AF20&gt;0,"ACV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21">
      <x:c r="A21" s="49" t="str">
        <x:v>Amikacine</x:v>
      </x:c>
      <x:c r="B21" s="49" t="str">
        <x:v>Flacon/ampoule 500 mg</x:v>
      </x:c>
      <x:c r="C21" s="49" t="str">
        <x:v>ampoule verre</x:v>
      </x:c>
      <x:c r="D21" s="49" t="str">
        <x:v>Amikacine</x:v>
      </x:c>
      <x:c r="E21" s="49" t="n">
        <x:v>500</x:v>
      </x:c>
      <x:c r="F21" s="49" t="str"/>
      <x:c r="G21" s="49"/>
      <x:c r="H21" s="49" t="str"/>
      <x:c r="I21" s="49"/>
      <x:c r="J21" s="49" t="n">
        <x:f>IFERROR(SUM(E21,G21,I21)/1000,"")</x:f>
        <x:v>0.5</x:v>
      </x:c>
      <x:c r="K21" s="49" t="n">
        <x:f>$E$4</x:f>
        <x:v>100</x:v>
      </x:c>
      <x:c r="L21" s="49" t="n">
        <x:f>IF(J21="","",J21/1000*K21*(1+$E$5/100))</x:f>
        <x:v>0.052500000000000005</x:v>
      </x:c>
      <x:c r="M21" s="49" t="n">
        <x:f>IF(J21="","",J21/1000*$E$6)</x:f>
        <x:v>0.0000475</x:v>
      </x:c>
      <x:c r="N21" s="49" t="n">
        <x:f>IF(C21="ampoule verre",$E$12,IF(C21="poche PEA",$E$13,$E$11))</x:f>
        <x:v>5</x:v>
      </x:c>
      <x:c r="O21" s="49" t="n">
        <x:f>IF(C21="ampoule verre",$E$8,IF(C21="poche PEA",$E$9,$E$7))</x:f>
        <x:v>5</x:v>
      </x:c>
      <x:c r="P21" s="49" t="n">
        <x:f>N21/1000*O21*(1+$E$5/100)</x:f>
        <x:v>0.026250000000000002</x:v>
      </x:c>
      <x:c r="Q21" s="49" t="n">
        <x:f>$E$14</x:f>
        <x:v>3</x:v>
      </x:c>
      <x:c r="R21" s="49" t="n">
        <x:f>Q21/1000*$E$10</x:f>
        <x:v>0.00348</x:v>
      </x:c>
      <x:c r="S21" s="49" t="n">
        <x:f>IF(J21="","",SUM(L21:M21,P21,R21))</x:f>
        <x:v>0.0822775</x:v>
      </x:c>
      <x:c r="T21" s="49" t="str">
        <x:f>IF(OR(J21="",K21=$E$4),"Élevé - FE PA générique",IF(W21&lt;&gt;"","À vérifier","Moyen"))</x:f>
        <x:v>Élevé - FE PA générique</x:v>
      </x:c>
      <x:c r="U21" s="49" t="str">
        <x:v>Breaking Stab</x:v>
      </x:c>
      <x:c r="V21" s="49" t="str">
        <x:v>EcovaMED v0.7 + hypothèses internes explicites</x:v>
      </x:c>
      <x:c r="W21" s="49" t="str"/>
      <x:c r="X21" t="str">
        <x:f>IF(A21="","",IF(OR(ISNUMBER(SEARCH("poche",C21)),ISNUMBER(SEARCH("ampoule",C21)),ISNUMBER(SEARCH("plastique",C21))),"Prêt à être dilué / administré (hypothèse)","Reconstitution nécessaire (hypothèse)"))</x:f>
        <x:v>Prêt à être dilué / administré (hypothèse)</x:v>
      </x:c>
      <x:c r="Y21" t="str">
        <x:f>IF(A21="","",IF(ISNUMBER(SEARCH("Reconstitution",X21)),"Flacon/poudre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21" t="n">
        <x:f>IF(A21="","",IF(ISNUMBER(SEARCH("Reconstitution",X21)),1,0))</x:f>
        <x:v>0</x:v>
      </x:c>
      <x:c r="AA21" t="str">
        <x:f>IF(Z21&gt;0,"SERINGUE_PP_24ML","")</x:f>
      </x:c>
      <x:c r="AB21" s="48" t="n">
        <x:f>IF(Z21&gt;0,Z21*VLOOKUP(AA21,FACTEURS_ITEMS!$A$3:$J$30,4,FALSE),0)</x:f>
        <x:v>0</x:v>
      </x:c>
      <x:c r="AC21" t="n">
        <x:f>IF(A21="","",IF(ISNUMBER(SEARCH("Reconstitution",X21)),1,0))</x:f>
        <x:v>0</x:v>
      </x:c>
      <x:c r="AD21" t="str">
        <x:f>IF(AC21&gt;0,"AIGUILLE_RECONSTITUTION","")</x:f>
      </x:c>
      <x:c r="AE21" s="48" t="n">
        <x:f>IF(AC21&gt;0,AC21*VLOOKUP(AD21,FACTEURS_ITEMS!$A$3:$J$30,4,FALSE),0)</x:f>
        <x:v>0</x:v>
      </x:c>
      <x:c r="AF21" s="48" t="n">
        <x:f>IF(A21="","",AB21+AE21)</x:f>
        <x:v>0</x:v>
      </x:c>
      <x:c r="AG21" s="48" t="n">
        <x:f>IF(A21="","",S21+AF21)</x:f>
        <x:v>0.0822775</x:v>
      </x:c>
      <x:c r="AH21" t="str">
        <x:f>IF(A21="","",IF(AF21&gt;0,"ACV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22">
      <x:c r="A22" s="49" t="str">
        <x:v>Amikacine</x:v>
      </x:c>
      <x:c r="B22" s="49" t="str">
        <x:v>Flacon/ampoule 1 g</x:v>
      </x:c>
      <x:c r="C22" s="49" t="str">
        <x:v>flacon verre</x:v>
      </x:c>
      <x:c r="D22" s="49" t="str">
        <x:v>Amikacine</x:v>
      </x:c>
      <x:c r="E22" s="49" t="n">
        <x:v>1000</x:v>
      </x:c>
      <x:c r="F22" s="49" t="str"/>
      <x:c r="G22" s="49"/>
      <x:c r="H22" s="49" t="str"/>
      <x:c r="I22" s="49"/>
      <x:c r="J22" s="49" t="n">
        <x:f>IFERROR(SUM(E22,G22,I22)/1000,"")</x:f>
        <x:v>1</x:v>
      </x:c>
      <x:c r="K22" s="49" t="n">
        <x:f>$E$4</x:f>
        <x:v>100</x:v>
      </x:c>
      <x:c r="L22" s="49" t="n">
        <x:f>IF(J22="","",J22/1000*K22*(1+$E$5/100))</x:f>
        <x:v>0.10500000000000001</x:v>
      </x:c>
      <x:c r="M22" s="49" t="n">
        <x:f>IF(J22="","",J22/1000*$E$6)</x:f>
        <x:v>0.000095</x:v>
      </x:c>
      <x:c r="N22" s="49" t="n">
        <x:f>IF(C22="ampoule verre",$E$12,IF(C22="poche PEA",$E$13,$E$11))</x:f>
        <x:v>10</x:v>
      </x:c>
      <x:c r="O22" s="49" t="n">
        <x:f>IF(C22="ampoule verre",$E$8,IF(C22="poche PEA",$E$9,$E$7))</x:f>
        <x:v>7.1</x:v>
      </x:c>
      <x:c r="P22" s="49" t="n">
        <x:f>N22/1000*O22*(1+$E$5/100)</x:f>
        <x:v>0.07454999999999999</x:v>
      </x:c>
      <x:c r="Q22" s="49" t="n">
        <x:f>$E$14</x:f>
        <x:v>3</x:v>
      </x:c>
      <x:c r="R22" s="49" t="n">
        <x:f>Q22/1000*$E$10</x:f>
        <x:v>0.00348</x:v>
      </x:c>
      <x:c r="S22" s="49" t="n">
        <x:f>IF(J22="","",SUM(L22:M22,P22,R22))</x:f>
        <x:v>0.183125</x:v>
      </x:c>
      <x:c r="T22" s="49" t="str">
        <x:f>IF(OR(J22="",K22=$E$4),"Élevé - FE PA générique",IF(W22&lt;&gt;"","À vérifier","Moyen"))</x:f>
        <x:v>Élevé - FE PA générique</x:v>
      </x:c>
      <x:c r="U22" s="49" t="str">
        <x:v>Breaking Stab</x:v>
      </x:c>
      <x:c r="V22" s="49" t="str">
        <x:v>EcovaMED v0.7 + hypothèses internes explicites</x:v>
      </x:c>
      <x:c r="W22" s="49" t="str"/>
      <x:c r="X22" t="str">
        <x:f>IF(A22="","",IF(OR(ISNUMBER(SEARCH("poche",C22)),ISNUMBER(SEARCH("ampoule",C22)),ISNUMBER(SEARCH("plastique",C22))),"Prêt à être dilué / administré (hypothèse)","Reconstitution nécessaire (hypothèse)"))</x:f>
        <x:v>Reconstitution nécessaire (hypothèse)</x:v>
      </x:c>
      <x:c r="Y22" t="str">
        <x:f>IF(A22="","",IF(ISNUMBER(SEARCH("Reconstitution",X22)),"Flacon/poudre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2" t="n">
        <x:f>IF(A22="","",IF(ISNUMBER(SEARCH("Reconstitution",X22)),1,0))</x:f>
        <x:v>1</x:v>
      </x:c>
      <x:c r="AA22" t="str">
        <x:f>IF(Z22&gt;0,"SERINGUE_PP_24ML","")</x:f>
        <x:v>SERINGUE_PP_24ML</x:v>
      </x:c>
      <x:c r="AB22" s="48" t="n">
        <x:f>IF(Z22&gt;0,Z22*VLOOKUP(AA22,FACTEURS_ITEMS!$A$3:$J$30,4,FALSE),0)</x:f>
        <x:v>0.069</x:v>
      </x:c>
      <x:c r="AC22" t="n">
        <x:f>IF(A22="","",IF(ISNUMBER(SEARCH("Reconstitution",X22)),1,0))</x:f>
        <x:v>1</x:v>
      </x:c>
      <x:c r="AD22" t="str">
        <x:f>IF(AC22&gt;0,"AIGUILLE_RECONSTITUTION","")</x:f>
        <x:v>AIGUILLE_RECONSTITUTION</x:v>
      </x:c>
      <x:c r="AE22" s="48" t="n">
        <x:f>IF(AC22&gt;0,AC22*VLOOKUP(AD22,FACTEURS_ITEMS!$A$3:$J$30,4,FALSE),0)</x:f>
        <x:v>0.01</x:v>
      </x:c>
      <x:c r="AF22" s="48" t="n">
        <x:f>IF(A22="","",AB22+AE22)</x:f>
        <x:v>0.079</x:v>
      </x:c>
      <x:c r="AG22" s="48" t="n">
        <x:f>IF(A22="","",S22+AF22)</x:f>
        <x:v>0.262125</x:v>
      </x:c>
      <x:c r="AH22" t="str">
        <x:f>IF(A22="","",IF(AF22&gt;0,"ACV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3">
      <x:c r="A23" s="49" t="str">
        <x:v>Amoxicilline</x:v>
      </x:c>
      <x:c r="B23" s="49" t="str">
        <x:v>Flacon 1 g</x:v>
      </x:c>
      <x:c r="C23" s="49" t="str">
        <x:v>flacon verre</x:v>
      </x:c>
      <x:c r="D23" s="49" t="str">
        <x:v>Amoxicilline</x:v>
      </x:c>
      <x:c r="E23" s="49" t="n">
        <x:v>1000</x:v>
      </x:c>
      <x:c r="F23" s="49" t="str"/>
      <x:c r="G23" s="49"/>
      <x:c r="H23" s="49" t="str"/>
      <x:c r="I23" s="49"/>
      <x:c r="J23" s="49" t="n">
        <x:f>IFERROR(SUM(E23,G23,I23)/1000,"")</x:f>
        <x:v>1</x:v>
      </x:c>
      <x:c r="K23" s="49" t="n">
        <x:f>$E$4</x:f>
        <x:v>100</x:v>
      </x:c>
      <x:c r="L23" s="49" t="n">
        <x:f>IF(J23="","",J23/1000*K23*(1+$E$5/100))</x:f>
        <x:v>0.10500000000000001</x:v>
      </x:c>
      <x:c r="M23" s="49" t="n">
        <x:f>IF(J23="","",J23/1000*$E$6)</x:f>
        <x:v>0.000095</x:v>
      </x:c>
      <x:c r="N23" s="49" t="n">
        <x:f>IF(C23="ampoule verre",$E$12,IF(C23="poche PEA",$E$13,$E$11))</x:f>
        <x:v>10</x:v>
      </x:c>
      <x:c r="O23" s="49" t="n">
        <x:f>IF(C23="ampoule verre",$E$8,IF(C23="poche PEA",$E$9,$E$7))</x:f>
        <x:v>7.1</x:v>
      </x:c>
      <x:c r="P23" s="49" t="n">
        <x:f>N23/1000*O23*(1+$E$5/100)</x:f>
        <x:v>0.07454999999999999</x:v>
      </x:c>
      <x:c r="Q23" s="49" t="n">
        <x:f>$E$14</x:f>
        <x:v>3</x:v>
      </x:c>
      <x:c r="R23" s="49" t="n">
        <x:f>Q23/1000*$E$10</x:f>
        <x:v>0.00348</x:v>
      </x:c>
      <x:c r="S23" s="49" t="n">
        <x:f>IF(J23="","",SUM(L23:M23,P23,R23))</x:f>
        <x:v>0.183125</x:v>
      </x:c>
      <x:c r="T23" s="49" t="str">
        <x:f>IF(OR(J23="",K23=$E$4),"Élevé - FE PA générique",IF(W23&lt;&gt;"","À vérifier","Moyen"))</x:f>
        <x:v>Élevé - FE PA générique</x:v>
      </x:c>
      <x:c r="U23" s="49" t="str">
        <x:v>Breaking Stab</x:v>
      </x:c>
      <x:c r="V23" s="49" t="str">
        <x:v>EcovaMED v0.7 + hypothèses internes explicites</x:v>
      </x:c>
      <x:c r="W23" s="49" t="str"/>
      <x:c r="X23" t="str">
        <x:f>IF(A23="","",IF(OR(ISNUMBER(SEARCH("poche",C23)),ISNUMBER(SEARCH("ampoule",C23)),ISNUMBER(SEARCH("plastique",C23))),"Prêt à être dilué / administré (hypothèse)","Reconstitution nécessaire (hypothèse)"))</x:f>
        <x:v>Reconstitution nécessaire (hypothèse)</x:v>
      </x:c>
      <x:c r="Y23" t="str">
        <x:f>IF(A23="","",IF(ISNUMBER(SEARCH("Reconstitution",X23)),"Flacon/poudre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3" t="n">
        <x:f>IF(A23="","",IF(ISNUMBER(SEARCH("Reconstitution",X23)),1,0))</x:f>
        <x:v>1</x:v>
      </x:c>
      <x:c r="AA23" t="str">
        <x:f>IF(Z23&gt;0,"SERINGUE_PP_24ML","")</x:f>
        <x:v>SERINGUE_PP_24ML</x:v>
      </x:c>
      <x:c r="AB23" s="48" t="n">
        <x:f>IF(Z23&gt;0,Z23*VLOOKUP(AA23,FACTEURS_ITEMS!$A$3:$J$30,4,FALSE),0)</x:f>
        <x:v>0.069</x:v>
      </x:c>
      <x:c r="AC23" t="n">
        <x:f>IF(A23="","",IF(ISNUMBER(SEARCH("Reconstitution",X23)),1,0))</x:f>
        <x:v>1</x:v>
      </x:c>
      <x:c r="AD23" t="str">
        <x:f>IF(AC23&gt;0,"AIGUILLE_RECONSTITUTION","")</x:f>
        <x:v>AIGUILLE_RECONSTITUTION</x:v>
      </x:c>
      <x:c r="AE23" s="48" t="n">
        <x:f>IF(AC23&gt;0,AC23*VLOOKUP(AD23,FACTEURS_ITEMS!$A$3:$J$30,4,FALSE),0)</x:f>
        <x:v>0.01</x:v>
      </x:c>
      <x:c r="AF23" s="48" t="n">
        <x:f>IF(A23="","",AB23+AE23)</x:f>
        <x:v>0.079</x:v>
      </x:c>
      <x:c r="AG23" s="48" t="n">
        <x:f>IF(A23="","",S23+AF23)</x:f>
        <x:v>0.262125</x:v>
      </x:c>
      <x:c r="AH23" t="str">
        <x:f>IF(A23="","",IF(AF23&gt;0,"ACV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4">
      <x:c r="A24" s="49" t="str">
        <x:v>Amoxicilline</x:v>
      </x:c>
      <x:c r="B24" s="49" t="str">
        <x:v>Flacon 2 g</x:v>
      </x:c>
      <x:c r="C24" s="49" t="str">
        <x:v>flacon verre</x:v>
      </x:c>
      <x:c r="D24" s="49" t="str">
        <x:v>Amoxicilline</x:v>
      </x:c>
      <x:c r="E24" s="49" t="n">
        <x:v>2000</x:v>
      </x:c>
      <x:c r="F24" s="49" t="str"/>
      <x:c r="G24" s="49"/>
      <x:c r="H24" s="49" t="str"/>
      <x:c r="I24" s="49"/>
      <x:c r="J24" s="49" t="n">
        <x:f>IFERROR(SUM(E24,G24,I24)/1000,"")</x:f>
        <x:v>2</x:v>
      </x:c>
      <x:c r="K24" s="49" t="n">
        <x:f>$E$4</x:f>
        <x:v>100</x:v>
      </x:c>
      <x:c r="L24" s="49" t="n">
        <x:f>IF(J24="","",J24/1000*K24*(1+$E$5/100))</x:f>
        <x:v>0.21000000000000002</x:v>
      </x:c>
      <x:c r="M24" s="49" t="n">
        <x:f>IF(J24="","",J24/1000*$E$6)</x:f>
        <x:v>0.00019</x:v>
      </x:c>
      <x:c r="N24" s="49" t="n">
        <x:f>IF(C24="ampoule verre",$E$12,IF(C24="poche PEA",$E$13,$E$11))</x:f>
        <x:v>10</x:v>
      </x:c>
      <x:c r="O24" s="49" t="n">
        <x:f>IF(C24="ampoule verre",$E$8,IF(C24="poche PEA",$E$9,$E$7))</x:f>
        <x:v>7.1</x:v>
      </x:c>
      <x:c r="P24" s="49" t="n">
        <x:f>N24/1000*O24*(1+$E$5/100)</x:f>
        <x:v>0.07454999999999999</x:v>
      </x:c>
      <x:c r="Q24" s="49" t="n">
        <x:f>$E$14</x:f>
        <x:v>3</x:v>
      </x:c>
      <x:c r="R24" s="49" t="n">
        <x:f>Q24/1000*$E$10</x:f>
        <x:v>0.00348</x:v>
      </x:c>
      <x:c r="S24" s="49" t="n">
        <x:f>IF(J24="","",SUM(L24:M24,P24,R24))</x:f>
        <x:v>0.28822</x:v>
      </x:c>
      <x:c r="T24" s="49" t="str">
        <x:f>IF(OR(J24="",K24=$E$4),"Élevé - FE PA générique",IF(W24&lt;&gt;"","À vérifier","Moyen"))</x:f>
        <x:v>Élevé - FE PA générique</x:v>
      </x:c>
      <x:c r="U24" s="49" t="str">
        <x:v>Breaking Stab</x:v>
      </x:c>
      <x:c r="V24" s="49" t="str">
        <x:v>EcovaMED v0.7 + hypothèses internes explicites</x:v>
      </x:c>
      <x:c r="W24" s="49" t="str"/>
      <x:c r="X24" t="str">
        <x:f>IF(A24="","",IF(OR(ISNUMBER(SEARCH("poche",C24)),ISNUMBER(SEARCH("ampoule",C24)),ISNUMBER(SEARCH("plastique",C24))),"Prêt à être dilué / administré (hypothèse)","Reconstitution nécessaire (hypothèse)"))</x:f>
        <x:v>Reconstitution nécessaire (hypothèse)</x:v>
      </x:c>
      <x:c r="Y24" t="str">
        <x:f>IF(A24="","",IF(ISNUMBER(SEARCH("Reconstitution",X24)),"Flacon/poudre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4" t="n">
        <x:f>IF(A24="","",IF(ISNUMBER(SEARCH("Reconstitution",X24)),1,0))</x:f>
        <x:v>1</x:v>
      </x:c>
      <x:c r="AA24" t="str">
        <x:f>IF(Z24&gt;0,"SERINGUE_PP_24ML","")</x:f>
        <x:v>SERINGUE_PP_24ML</x:v>
      </x:c>
      <x:c r="AB24" s="48" t="n">
        <x:f>IF(Z24&gt;0,Z24*VLOOKUP(AA24,FACTEURS_ITEMS!$A$3:$J$30,4,FALSE),0)</x:f>
        <x:v>0.069</x:v>
      </x:c>
      <x:c r="AC24" t="n">
        <x:f>IF(A24="","",IF(ISNUMBER(SEARCH("Reconstitution",X24)),1,0))</x:f>
        <x:v>1</x:v>
      </x:c>
      <x:c r="AD24" t="str">
        <x:f>IF(AC24&gt;0,"AIGUILLE_RECONSTITUTION","")</x:f>
        <x:v>AIGUILLE_RECONSTITUTION</x:v>
      </x:c>
      <x:c r="AE24" s="48" t="n">
        <x:f>IF(AC24&gt;0,AC24*VLOOKUP(AD24,FACTEURS_ITEMS!$A$3:$J$30,4,FALSE),0)</x:f>
        <x:v>0.01</x:v>
      </x:c>
      <x:c r="AF24" s="48" t="n">
        <x:f>IF(A24="","",AB24+AE24)</x:f>
        <x:v>0.079</x:v>
      </x:c>
      <x:c r="AG24" s="48" t="n">
        <x:f>IF(A24="","",S24+AF24)</x:f>
        <x:v>0.36722</x:v>
      </x:c>
      <x:c r="AH24" t="str">
        <x:f>IF(A24="","",IF(AF24&gt;0,"ACV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5">
      <x:c r="A25" s="49" t="str">
        <x:v>Amoxicilline/acide clavulanique</x:v>
      </x:c>
      <x:c r="B25" s="49" t="str">
        <x:v>Flacon 1 g/200 mg</x:v>
      </x:c>
      <x:c r="C25" s="49" t="str">
        <x:v>flacon verre</x:v>
      </x:c>
      <x:c r="D25" s="49" t="str">
        <x:v>Amoxicilline</x:v>
      </x:c>
      <x:c r="E25" s="49" t="n">
        <x:v>1000</x:v>
      </x:c>
      <x:c r="F25" s="49" t="str">
        <x:v>Acide clavulanique</x:v>
      </x:c>
      <x:c r="G25" s="49" t="n">
        <x:v>200</x:v>
      </x:c>
      <x:c r="H25" s="49" t="str"/>
      <x:c r="I25" s="49"/>
      <x:c r="J25" s="49" t="n">
        <x:f>IFERROR(SUM(E25,G25,I25)/1000,"")</x:f>
        <x:v>1.2</x:v>
      </x:c>
      <x:c r="K25" s="49" t="n">
        <x:f>$E$4</x:f>
        <x:v>100</x:v>
      </x:c>
      <x:c r="L25" s="49" t="n">
        <x:f>IF(J25="","",J25/1000*K25*(1+$E$5/100))</x:f>
        <x:v>0.126</x:v>
      </x:c>
      <x:c r="M25" s="49" t="n">
        <x:f>IF(J25="","",J25/1000*$E$6)</x:f>
        <x:v>0.00011399999999999999</x:v>
      </x:c>
      <x:c r="N25" s="49" t="n">
        <x:f>IF(C25="ampoule verre",$E$12,IF(C25="poche PEA",$E$13,$E$11))</x:f>
        <x:v>10</x:v>
      </x:c>
      <x:c r="O25" s="49" t="n">
        <x:f>IF(C25="ampoule verre",$E$8,IF(C25="poche PEA",$E$9,$E$7))</x:f>
        <x:v>7.1</x:v>
      </x:c>
      <x:c r="P25" s="49" t="n">
        <x:f>N25/1000*O25*(1+$E$5/100)</x:f>
        <x:v>0.07454999999999999</x:v>
      </x:c>
      <x:c r="Q25" s="49" t="n">
        <x:f>$E$14</x:f>
        <x:v>3</x:v>
      </x:c>
      <x:c r="R25" s="49" t="n">
        <x:f>Q25/1000*$E$10</x:f>
        <x:v>0.00348</x:v>
      </x:c>
      <x:c r="S25" s="49" t="n">
        <x:f>IF(J25="","",SUM(L25:M25,P25,R25))</x:f>
        <x:v>0.20414400000000002</x:v>
      </x:c>
      <x:c r="T25" s="49" t="str">
        <x:f>IF(OR(J25="",K25=$E$4),"Élevé - FE PA générique",IF(W25&lt;&gt;"","À vérifier","Moyen"))</x:f>
        <x:v>Élevé - FE PA générique</x:v>
      </x:c>
      <x:c r="U25" s="49" t="str">
        <x:v>Breaking Stab</x:v>
      </x:c>
      <x:c r="V25" s="49" t="str">
        <x:v>EcovaMED v0.7 + hypothèses internes explicites</x:v>
      </x:c>
      <x:c r="W25" s="49" t="str"/>
      <x:c r="X25" t="str">
        <x:f>IF(A25="","",IF(OR(ISNUMBER(SEARCH("poche",C25)),ISNUMBER(SEARCH("ampoule",C25)),ISNUMBER(SEARCH("plastique",C25))),"Prêt à être dilué / administré (hypothèse)","Reconstitution nécessaire (hypothèse)"))</x:f>
        <x:v>Reconstitution nécessaire (hypothèse)</x:v>
      </x:c>
      <x:c r="Y25" t="str">
        <x:f>IF(A25="","",IF(ISNUMBER(SEARCH("Reconstitution",X25)),"Flacon/poudre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5" t="n">
        <x:f>IF(A25="","",IF(ISNUMBER(SEARCH("Reconstitution",X25)),1,0))</x:f>
        <x:v>1</x:v>
      </x:c>
      <x:c r="AA25" t="str">
        <x:f>IF(Z25&gt;0,"SERINGUE_PP_24ML","")</x:f>
        <x:v>SERINGUE_PP_24ML</x:v>
      </x:c>
      <x:c r="AB25" s="48" t="n">
        <x:f>IF(Z25&gt;0,Z25*VLOOKUP(AA25,FACTEURS_ITEMS!$A$3:$J$30,4,FALSE),0)</x:f>
        <x:v>0.069</x:v>
      </x:c>
      <x:c r="AC25" t="n">
        <x:f>IF(A25="","",IF(ISNUMBER(SEARCH("Reconstitution",X25)),1,0))</x:f>
        <x:v>1</x:v>
      </x:c>
      <x:c r="AD25" t="str">
        <x:f>IF(AC25&gt;0,"AIGUILLE_RECONSTITUTION","")</x:f>
        <x:v>AIGUILLE_RECONSTITUTION</x:v>
      </x:c>
      <x:c r="AE25" s="48" t="n">
        <x:f>IF(AC25&gt;0,AC25*VLOOKUP(AD25,FACTEURS_ITEMS!$A$3:$J$30,4,FALSE),0)</x:f>
        <x:v>0.01</x:v>
      </x:c>
      <x:c r="AF25" s="48" t="n">
        <x:f>IF(A25="","",AB25+AE25)</x:f>
        <x:v>0.079</x:v>
      </x:c>
      <x:c r="AG25" s="48" t="n">
        <x:f>IF(A25="","",S25+AF25)</x:f>
        <x:v>0.283144</x:v>
      </x:c>
      <x:c r="AH25" t="str">
        <x:f>IF(A25="","",IF(AF25&gt;0,"ACV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6">
      <x:c r="A26" s="49" t="str">
        <x:v>Amoxicilline/acide clavulanique</x:v>
      </x:c>
      <x:c r="B26" s="49" t="str">
        <x:v>Flacon 2 g/200 mg</x:v>
      </x:c>
      <x:c r="C26" s="49" t="str">
        <x:v>flacon verre</x:v>
      </x:c>
      <x:c r="D26" s="49" t="str">
        <x:v>Amoxicilline</x:v>
      </x:c>
      <x:c r="E26" s="49" t="n">
        <x:v>2000</x:v>
      </x:c>
      <x:c r="F26" s="49" t="str">
        <x:v>Acide clavulanique</x:v>
      </x:c>
      <x:c r="G26" s="49" t="n">
        <x:v>200</x:v>
      </x:c>
      <x:c r="H26" s="49" t="str"/>
      <x:c r="I26" s="49"/>
      <x:c r="J26" s="49" t="n">
        <x:f>IFERROR(SUM(E26,G26,I26)/1000,"")</x:f>
        <x:v>2.2</x:v>
      </x:c>
      <x:c r="K26" s="49" t="n">
        <x:f>$E$4</x:f>
        <x:v>100</x:v>
      </x:c>
      <x:c r="L26" s="49" t="n">
        <x:f>IF(J26="","",J26/1000*K26*(1+$E$5/100))</x:f>
        <x:v>0.231</x:v>
      </x:c>
      <x:c r="M26" s="49" t="n">
        <x:f>IF(J26="","",J26/1000*$E$6)</x:f>
        <x:v>0.000209</x:v>
      </x:c>
      <x:c r="N26" s="49" t="n">
        <x:f>IF(C26="ampoule verre",$E$12,IF(C26="poche PEA",$E$13,$E$11))</x:f>
        <x:v>10</x:v>
      </x:c>
      <x:c r="O26" s="49" t="n">
        <x:f>IF(C26="ampoule verre",$E$8,IF(C26="poche PEA",$E$9,$E$7))</x:f>
        <x:v>7.1</x:v>
      </x:c>
      <x:c r="P26" s="49" t="n">
        <x:f>N26/1000*O26*(1+$E$5/100)</x:f>
        <x:v>0.07454999999999999</x:v>
      </x:c>
      <x:c r="Q26" s="49" t="n">
        <x:f>$E$14</x:f>
        <x:v>3</x:v>
      </x:c>
      <x:c r="R26" s="49" t="n">
        <x:f>Q26/1000*$E$10</x:f>
        <x:v>0.00348</x:v>
      </x:c>
      <x:c r="S26" s="49" t="n">
        <x:f>IF(J26="","",SUM(L26:M26,P26,R26))</x:f>
        <x:v>0.309239</x:v>
      </x:c>
      <x:c r="T26" s="49" t="str">
        <x:f>IF(OR(J26="",K26=$E$4),"Élevé - FE PA générique",IF(W26&lt;&gt;"","À vérifier","Moyen"))</x:f>
        <x:v>Élevé - FE PA générique</x:v>
      </x:c>
      <x:c r="U26" s="49" t="str">
        <x:v>Breaking Stab</x:v>
      </x:c>
      <x:c r="V26" s="49" t="str">
        <x:v>EcovaMED v0.7 + hypothèses internes explicites</x:v>
      </x:c>
      <x:c r="W26" s="49" t="str"/>
      <x:c r="X26" t="str">
        <x:f>IF(A26="","",IF(OR(ISNUMBER(SEARCH("poche",C26)),ISNUMBER(SEARCH("ampoule",C26)),ISNUMBER(SEARCH("plastique",C26))),"Prêt à être dilué / administré (hypothèse)","Reconstitution nécessaire (hypothèse)"))</x:f>
        <x:v>Reconstitution nécessaire (hypothèse)</x:v>
      </x:c>
      <x:c r="Y26" t="str">
        <x:f>IF(A26="","",IF(ISNUMBER(SEARCH("Reconstitution",X26)),"Flacon/poudre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6" t="n">
        <x:f>IF(A26="","",IF(ISNUMBER(SEARCH("Reconstitution",X26)),1,0))</x:f>
        <x:v>1</x:v>
      </x:c>
      <x:c r="AA26" t="str">
        <x:f>IF(Z26&gt;0,"SERINGUE_PP_24ML","")</x:f>
        <x:v>SERINGUE_PP_24ML</x:v>
      </x:c>
      <x:c r="AB26" s="48" t="n">
        <x:f>IF(Z26&gt;0,Z26*VLOOKUP(AA26,FACTEURS_ITEMS!$A$3:$J$30,4,FALSE),0)</x:f>
        <x:v>0.069</x:v>
      </x:c>
      <x:c r="AC26" t="n">
        <x:f>IF(A26="","",IF(ISNUMBER(SEARCH("Reconstitution",X26)),1,0))</x:f>
        <x:v>1</x:v>
      </x:c>
      <x:c r="AD26" t="str">
        <x:f>IF(AC26&gt;0,"AIGUILLE_RECONSTITUTION","")</x:f>
        <x:v>AIGUILLE_RECONSTITUTION</x:v>
      </x:c>
      <x:c r="AE26" s="48" t="n">
        <x:f>IF(AC26&gt;0,AC26*VLOOKUP(AD26,FACTEURS_ITEMS!$A$3:$J$30,4,FALSE),0)</x:f>
        <x:v>0.01</x:v>
      </x:c>
      <x:c r="AF26" s="48" t="n">
        <x:f>IF(A26="","",AB26+AE26)</x:f>
        <x:v>0.079</x:v>
      </x:c>
      <x:c r="AG26" s="48" t="n">
        <x:f>IF(A26="","",S26+AF26)</x:f>
        <x:v>0.388239</x:v>
      </x:c>
      <x:c r="AH26" t="str">
        <x:f>IF(A26="","",IF(AF26&gt;0,"ACV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7">
      <x:c r="A27" s="49" t="str">
        <x:v>Ampicilline</x:v>
      </x:c>
      <x:c r="B27" s="49" t="str">
        <x:v>Flacon 1 g</x:v>
      </x:c>
      <x:c r="C27" s="49" t="str">
        <x:v>flacon verre</x:v>
      </x:c>
      <x:c r="D27" s="49" t="str">
        <x:v>Ampicilline</x:v>
      </x:c>
      <x:c r="E27" s="49" t="n">
        <x:v>1000</x:v>
      </x:c>
      <x:c r="F27" s="49" t="str"/>
      <x:c r="G27" s="49"/>
      <x:c r="H27" s="49" t="str"/>
      <x:c r="I27" s="49"/>
      <x:c r="J27" s="49" t="n">
        <x:f>IFERROR(SUM(E27,G27,I27)/1000,"")</x:f>
        <x:v>1</x:v>
      </x:c>
      <x:c r="K27" s="49" t="n">
        <x:f>$E$4</x:f>
        <x:v>100</x:v>
      </x:c>
      <x:c r="L27" s="49" t="n">
        <x:f>IF(J27="","",J27/1000*K27*(1+$E$5/100))</x:f>
        <x:v>0.10500000000000001</x:v>
      </x:c>
      <x:c r="M27" s="49" t="n">
        <x:f>IF(J27="","",J27/1000*$E$6)</x:f>
        <x:v>0.000095</x:v>
      </x:c>
      <x:c r="N27" s="49" t="n">
        <x:f>IF(C27="ampoule verre",$E$12,IF(C27="poche PEA",$E$13,$E$11))</x:f>
        <x:v>10</x:v>
      </x:c>
      <x:c r="O27" s="49" t="n">
        <x:f>IF(C27="ampoule verre",$E$8,IF(C27="poche PEA",$E$9,$E$7))</x:f>
        <x:v>7.1</x:v>
      </x:c>
      <x:c r="P27" s="49" t="n">
        <x:f>N27/1000*O27*(1+$E$5/100)</x:f>
        <x:v>0.07454999999999999</x:v>
      </x:c>
      <x:c r="Q27" s="49" t="n">
        <x:f>$E$14</x:f>
        <x:v>3</x:v>
      </x:c>
      <x:c r="R27" s="49" t="n">
        <x:f>Q27/1000*$E$10</x:f>
        <x:v>0.00348</x:v>
      </x:c>
      <x:c r="S27" s="49" t="n">
        <x:f>IF(J27="","",SUM(L27:M27,P27,R27))</x:f>
        <x:v>0.183125</x:v>
      </x:c>
      <x:c r="T27" s="49" t="str">
        <x:f>IF(OR(J27="",K27=$E$4),"Élevé - FE PA générique",IF(W27&lt;&gt;"","À vérifier","Moyen"))</x:f>
        <x:v>Élevé - FE PA générique</x:v>
      </x:c>
      <x:c r="U27" s="49" t="str">
        <x:v>CHICAS/Breaking Stab</x:v>
      </x:c>
      <x:c r="V27" s="49" t="str">
        <x:v>EcovaMED v0.7 + hypothèses internes explicites</x:v>
      </x:c>
      <x:c r="W27" s="49" t="str"/>
      <x:c r="X27" t="str">
        <x:f>IF(A27="","",IF(OR(ISNUMBER(SEARCH("poche",C27)),ISNUMBER(SEARCH("ampoule",C27)),ISNUMBER(SEARCH("plastique",C27))),"Prêt à être dilué / administré (hypothèse)","Reconstitution nécessaire (hypothèse)"))</x:f>
        <x:v>Reconstitution nécessaire (hypothèse)</x:v>
      </x:c>
      <x:c r="Y27" t="str">
        <x:f>IF(A27="","",IF(ISNUMBER(SEARCH("Reconstitution",X27)),"Flacon/poudre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7" t="n">
        <x:f>IF(A27="","",IF(ISNUMBER(SEARCH("Reconstitution",X27)),1,0))</x:f>
        <x:v>1</x:v>
      </x:c>
      <x:c r="AA27" t="str">
        <x:f>IF(Z27&gt;0,"SERINGUE_PP_24ML","")</x:f>
        <x:v>SERINGUE_PP_24ML</x:v>
      </x:c>
      <x:c r="AB27" s="48" t="n">
        <x:f>IF(Z27&gt;0,Z27*VLOOKUP(AA27,FACTEURS_ITEMS!$A$3:$J$30,4,FALSE),0)</x:f>
        <x:v>0.069</x:v>
      </x:c>
      <x:c r="AC27" t="n">
        <x:f>IF(A27="","",IF(ISNUMBER(SEARCH("Reconstitution",X27)),1,0))</x:f>
        <x:v>1</x:v>
      </x:c>
      <x:c r="AD27" t="str">
        <x:f>IF(AC27&gt;0,"AIGUILLE_RECONSTITUTION","")</x:f>
        <x:v>AIGUILLE_RECONSTITUTION</x:v>
      </x:c>
      <x:c r="AE27" s="48" t="n">
        <x:f>IF(AC27&gt;0,AC27*VLOOKUP(AD27,FACTEURS_ITEMS!$A$3:$J$30,4,FALSE),0)</x:f>
        <x:v>0.01</x:v>
      </x:c>
      <x:c r="AF27" s="48" t="n">
        <x:f>IF(A27="","",AB27+AE27)</x:f>
        <x:v>0.079</x:v>
      </x:c>
      <x:c r="AG27" s="48" t="n">
        <x:f>IF(A27="","",S27+AF27)</x:f>
        <x:v>0.262125</x:v>
      </x:c>
      <x:c r="AH27" t="str">
        <x:f>IF(A27="","",IF(AF27&gt;0,"ACV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8">
      <x:c r="A28" s="49" t="str">
        <x:v>Ampicilline</x:v>
      </x:c>
      <x:c r="B28" s="49" t="str">
        <x:v>Flacon 2 g</x:v>
      </x:c>
      <x:c r="C28" s="49" t="str">
        <x:v>flacon verre</x:v>
      </x:c>
      <x:c r="D28" s="49" t="str">
        <x:v>Ampicilline</x:v>
      </x:c>
      <x:c r="E28" s="49" t="n">
        <x:v>2000</x:v>
      </x:c>
      <x:c r="F28" s="49" t="str"/>
      <x:c r="G28" s="49"/>
      <x:c r="H28" s="49" t="str"/>
      <x:c r="I28" s="49"/>
      <x:c r="J28" s="49" t="n">
        <x:f>IFERROR(SUM(E28,G28,I28)/1000,"")</x:f>
        <x:v>2</x:v>
      </x:c>
      <x:c r="K28" s="49" t="n">
        <x:f>$E$4</x:f>
        <x:v>100</x:v>
      </x:c>
      <x:c r="L28" s="49" t="n">
        <x:f>IF(J28="","",J28/1000*K28*(1+$E$5/100))</x:f>
        <x:v>0.21000000000000002</x:v>
      </x:c>
      <x:c r="M28" s="49" t="n">
        <x:f>IF(J28="","",J28/1000*$E$6)</x:f>
        <x:v>0.00019</x:v>
      </x:c>
      <x:c r="N28" s="49" t="n">
        <x:f>IF(C28="ampoule verre",$E$12,IF(C28="poche PEA",$E$13,$E$11))</x:f>
        <x:v>10</x:v>
      </x:c>
      <x:c r="O28" s="49" t="n">
        <x:f>IF(C28="ampoule verre",$E$8,IF(C28="poche PEA",$E$9,$E$7))</x:f>
        <x:v>7.1</x:v>
      </x:c>
      <x:c r="P28" s="49" t="n">
        <x:f>N28/1000*O28*(1+$E$5/100)</x:f>
        <x:v>0.07454999999999999</x:v>
      </x:c>
      <x:c r="Q28" s="49" t="n">
        <x:f>$E$14</x:f>
        <x:v>3</x:v>
      </x:c>
      <x:c r="R28" s="49" t="n">
        <x:f>Q28/1000*$E$10</x:f>
        <x:v>0.00348</x:v>
      </x:c>
      <x:c r="S28" s="49" t="n">
        <x:f>IF(J28="","",SUM(L28:M28,P28,R28))</x:f>
        <x:v>0.28822</x:v>
      </x:c>
      <x:c r="T28" s="49" t="str">
        <x:f>IF(OR(J28="",K28=$E$4),"Élevé - FE PA générique",IF(W28&lt;&gt;"","À vérifier","Moyen"))</x:f>
        <x:v>Élevé - FE PA générique</x:v>
      </x:c>
      <x:c r="U28" s="49" t="str">
        <x:v>CHICAS/Breaking Stab</x:v>
      </x:c>
      <x:c r="V28" s="49" t="str">
        <x:v>EcovaMED v0.7 + hypothèses internes explicites</x:v>
      </x:c>
      <x:c r="W28" s="49" t="str"/>
      <x:c r="X28" t="str">
        <x:f>IF(A28="","",IF(OR(ISNUMBER(SEARCH("poche",C28)),ISNUMBER(SEARCH("ampoule",C28)),ISNUMBER(SEARCH("plastique",C28))),"Prêt à être dilué / administré (hypothèse)","Reconstitution nécessaire (hypothèse)"))</x:f>
        <x:v>Reconstitution nécessaire (hypothèse)</x:v>
      </x:c>
      <x:c r="Y28" t="str">
        <x:f>IF(A28="","",IF(ISNUMBER(SEARCH("Reconstitution",X28)),"Flacon/poudre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8" t="n">
        <x:f>IF(A28="","",IF(ISNUMBER(SEARCH("Reconstitution",X28)),1,0))</x:f>
        <x:v>1</x:v>
      </x:c>
      <x:c r="AA28" t="str">
        <x:f>IF(Z28&gt;0,"SERINGUE_PP_24ML","")</x:f>
        <x:v>SERINGUE_PP_24ML</x:v>
      </x:c>
      <x:c r="AB28" s="48" t="n">
        <x:f>IF(Z28&gt;0,Z28*VLOOKUP(AA28,FACTEURS_ITEMS!$A$3:$J$30,4,FALSE),0)</x:f>
        <x:v>0.069</x:v>
      </x:c>
      <x:c r="AC28" t="n">
        <x:f>IF(A28="","",IF(ISNUMBER(SEARCH("Reconstitution",X28)),1,0))</x:f>
        <x:v>1</x:v>
      </x:c>
      <x:c r="AD28" t="str">
        <x:f>IF(AC28&gt;0,"AIGUILLE_RECONSTITUTION","")</x:f>
        <x:v>AIGUILLE_RECONSTITUTION</x:v>
      </x:c>
      <x:c r="AE28" s="48" t="n">
        <x:f>IF(AC28&gt;0,AC28*VLOOKUP(AD28,FACTEURS_ITEMS!$A$3:$J$30,4,FALSE),0)</x:f>
        <x:v>0.01</x:v>
      </x:c>
      <x:c r="AF28" s="48" t="n">
        <x:f>IF(A28="","",AB28+AE28)</x:f>
        <x:v>0.079</x:v>
      </x:c>
      <x:c r="AG28" s="48" t="n">
        <x:f>IF(A28="","",S28+AF28)</x:f>
        <x:v>0.36722</x:v>
      </x:c>
      <x:c r="AH28" t="str">
        <x:f>IF(A28="","",IF(AF28&gt;0,"ACV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9">
      <x:c r="A29" s="49" t="str">
        <x:v>Artesunate</x:v>
      </x:c>
      <x:c r="B29" s="49" t="str">
        <x:v>Flacon 60 mg</x:v>
      </x:c>
      <x:c r="C29" s="49" t="str">
        <x:v>flacon verre</x:v>
      </x:c>
      <x:c r="D29" s="49" t="str">
        <x:v>Artésunate</x:v>
      </x:c>
      <x:c r="E29" s="49" t="n">
        <x:v>60</x:v>
      </x:c>
      <x:c r="F29" s="49" t="str"/>
      <x:c r="G29" s="49"/>
      <x:c r="H29" s="49" t="str"/>
      <x:c r="I29" s="49"/>
      <x:c r="J29" s="49" t="n">
        <x:f>IFERROR(SUM(E29,G29,I29)/1000,"")</x:f>
        <x:v>0.06</x:v>
      </x:c>
      <x:c r="K29" s="49" t="n">
        <x:f>$E$4</x:f>
        <x:v>100</x:v>
      </x:c>
      <x:c r="L29" s="49" t="n">
        <x:f>IF(J29="","",J29/1000*K29*(1+$E$5/100))</x:f>
        <x:v>0.006299999999999999</x:v>
      </x:c>
      <x:c r="M29" s="49" t="n">
        <x:f>IF(J29="","",J29/1000*$E$6)</x:f>
        <x:v>0.0000057</x:v>
      </x:c>
      <x:c r="N29" s="49" t="n">
        <x:f>IF(C29="ampoule verre",$E$12,IF(C29="poche PEA",$E$13,$E$11))</x:f>
        <x:v>10</x:v>
      </x:c>
      <x:c r="O29" s="49" t="n">
        <x:f>IF(C29="ampoule verre",$E$8,IF(C29="poche PEA",$E$9,$E$7))</x:f>
        <x:v>7.1</x:v>
      </x:c>
      <x:c r="P29" s="49" t="n">
        <x:f>N29/1000*O29*(1+$E$5/100)</x:f>
        <x:v>0.07454999999999999</x:v>
      </x:c>
      <x:c r="Q29" s="49" t="n">
        <x:f>$E$14</x:f>
        <x:v>3</x:v>
      </x:c>
      <x:c r="R29" s="49" t="n">
        <x:f>Q29/1000*$E$10</x:f>
        <x:v>0.00348</x:v>
      </x:c>
      <x:c r="S29" s="49" t="n">
        <x:f>IF(J29="","",SUM(L29:M29,P29,R29))</x:f>
        <x:v>0.08433569999999999</x:v>
      </x:c>
      <x:c r="T29" s="49" t="str">
        <x:f>IF(OR(J29="",K29=$E$4),"Élevé - FE PA générique",IF(W29&lt;&gt;"","À vérifier","Moyen"))</x:f>
        <x:v>Élevé - FE PA générique</x:v>
      </x:c>
      <x:c r="U29" s="49" t="str">
        <x:v>Breaking Stab</x:v>
      </x:c>
      <x:c r="V29" s="49" t="str">
        <x:v>EcovaMED v0.7 + hypothèses internes explicites</x:v>
      </x:c>
      <x:c r="W29" s="49" t="str"/>
      <x:c r="X29" t="str">
        <x:f>IF(A29="","",IF(OR(ISNUMBER(SEARCH("poche",C29)),ISNUMBER(SEARCH("ampoule",C29)),ISNUMBER(SEARCH("plastique",C29))),"Prêt à être dilué / administré (hypothèse)","Reconstitution nécessaire (hypothèse)"))</x:f>
        <x:v>Reconstitution nécessaire (hypothèse)</x:v>
      </x:c>
      <x:c r="Y29" t="str">
        <x:f>IF(A29="","",IF(ISNUMBER(SEARCH("Reconstitution",X29)),"Flacon/poudre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9" t="n">
        <x:f>IF(A29="","",IF(ISNUMBER(SEARCH("Reconstitution",X29)),1,0))</x:f>
        <x:v>1</x:v>
      </x:c>
      <x:c r="AA29" t="str">
        <x:f>IF(Z29&gt;0,"SERINGUE_PP_24ML","")</x:f>
        <x:v>SERINGUE_PP_24ML</x:v>
      </x:c>
      <x:c r="AB29" s="48" t="n">
        <x:f>IF(Z29&gt;0,Z29*VLOOKUP(AA29,FACTEURS_ITEMS!$A$3:$J$30,4,FALSE),0)</x:f>
        <x:v>0.069</x:v>
      </x:c>
      <x:c r="AC29" t="n">
        <x:f>IF(A29="","",IF(ISNUMBER(SEARCH("Reconstitution",X29)),1,0))</x:f>
        <x:v>1</x:v>
      </x:c>
      <x:c r="AD29" t="str">
        <x:f>IF(AC29&gt;0,"AIGUILLE_RECONSTITUTION","")</x:f>
        <x:v>AIGUILLE_RECONSTITUTION</x:v>
      </x:c>
      <x:c r="AE29" s="48" t="n">
        <x:f>IF(AC29&gt;0,AC29*VLOOKUP(AD29,FACTEURS_ITEMS!$A$3:$J$30,4,FALSE),0)</x:f>
        <x:v>0.01</x:v>
      </x:c>
      <x:c r="AF29" s="48" t="n">
        <x:f>IF(A29="","",AB29+AE29)</x:f>
        <x:v>0.079</x:v>
      </x:c>
      <x:c r="AG29" s="48" t="n">
        <x:f>IF(A29="","",S29+AF29)</x:f>
        <x:v>0.16333569999999997</x:v>
      </x:c>
      <x:c r="AH29" t="str">
        <x:f>IF(A29="","",IF(AF29&gt;0,"ACV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0">
      <x:c r="A30" s="49" t="str">
        <x:v>Aztréonam</x:v>
      </x:c>
      <x:c r="B30" s="49" t="str">
        <x:v>Flacon 1 g</x:v>
      </x:c>
      <x:c r="C30" s="49" t="str">
        <x:v>flacon verre</x:v>
      </x:c>
      <x:c r="D30" s="49" t="str">
        <x:v>Aztréonam</x:v>
      </x:c>
      <x:c r="E30" s="49" t="n">
        <x:v>1000</x:v>
      </x:c>
      <x:c r="F30" s="49" t="str"/>
      <x:c r="G30" s="49"/>
      <x:c r="H30" s="49" t="str"/>
      <x:c r="I30" s="49"/>
      <x:c r="J30" s="49" t="n">
        <x:f>IFERROR(SUM(E30,G30,I30)/1000,"")</x:f>
        <x:v>1</x:v>
      </x:c>
      <x:c r="K30" s="49" t="n">
        <x:f>$E$4</x:f>
        <x:v>100</x:v>
      </x:c>
      <x:c r="L30" s="49" t="n">
        <x:f>IF(J30="","",J30/1000*K30*(1+$E$5/100))</x:f>
        <x:v>0.10500000000000001</x:v>
      </x:c>
      <x:c r="M30" s="49" t="n">
        <x:f>IF(J30="","",J30/1000*$E$6)</x:f>
        <x:v>0.000095</x:v>
      </x:c>
      <x:c r="N30" s="49" t="n">
        <x:f>IF(C30="ampoule verre",$E$12,IF(C30="poche PEA",$E$13,$E$11))</x:f>
        <x:v>10</x:v>
      </x:c>
      <x:c r="O30" s="49" t="n">
        <x:f>IF(C30="ampoule verre",$E$8,IF(C30="poche PEA",$E$9,$E$7))</x:f>
        <x:v>7.1</x:v>
      </x:c>
      <x:c r="P30" s="49" t="n">
        <x:f>N30/1000*O30*(1+$E$5/100)</x:f>
        <x:v>0.07454999999999999</x:v>
      </x:c>
      <x:c r="Q30" s="49" t="n">
        <x:f>$E$14</x:f>
        <x:v>3</x:v>
      </x:c>
      <x:c r="R30" s="49" t="n">
        <x:f>Q30/1000*$E$10</x:f>
        <x:v>0.00348</x:v>
      </x:c>
      <x:c r="S30" s="49" t="n">
        <x:f>IF(J30="","",SUM(L30:M30,P30,R30))</x:f>
        <x:v>0.183125</x:v>
      </x:c>
      <x:c r="T30" s="49" t="str">
        <x:f>IF(OR(J30="",K30=$E$4),"Élevé - FE PA générique",IF(W30&lt;&gt;"","À vérifier","Moyen"))</x:f>
        <x:v>Élevé - FE PA générique</x:v>
      </x:c>
      <x:c r="U30" s="49" t="str">
        <x:v>Breaking Stab</x:v>
      </x:c>
      <x:c r="V30" s="49" t="str">
        <x:v>EcovaMED v0.7 + hypothèses internes explicites</x:v>
      </x:c>
      <x:c r="W30" s="49" t="str"/>
      <x:c r="X30" t="str">
        <x:f>IF(A30="","",IF(OR(ISNUMBER(SEARCH("poche",C30)),ISNUMBER(SEARCH("ampoule",C30)),ISNUMBER(SEARCH("plastique",C30))),"Prêt à être dilué / administré (hypothèse)","Reconstitution nécessaire (hypothèse)"))</x:f>
        <x:v>Reconstitution nécessaire (hypothèse)</x:v>
      </x:c>
      <x:c r="Y30" t="str">
        <x:f>IF(A30="","",IF(ISNUMBER(SEARCH("Reconstitution",X30)),"Flacon/poudre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0" t="n">
        <x:f>IF(A30="","",IF(ISNUMBER(SEARCH("Reconstitution",X30)),1,0))</x:f>
        <x:v>1</x:v>
      </x:c>
      <x:c r="AA30" t="str">
        <x:f>IF(Z30&gt;0,"SERINGUE_PP_24ML","")</x:f>
        <x:v>SERINGUE_PP_24ML</x:v>
      </x:c>
      <x:c r="AB30" s="48" t="n">
        <x:f>IF(Z30&gt;0,Z30*VLOOKUP(AA30,FACTEURS_ITEMS!$A$3:$J$30,4,FALSE),0)</x:f>
        <x:v>0.069</x:v>
      </x:c>
      <x:c r="AC30" t="n">
        <x:f>IF(A30="","",IF(ISNUMBER(SEARCH("Reconstitution",X30)),1,0))</x:f>
        <x:v>1</x:v>
      </x:c>
      <x:c r="AD30" t="str">
        <x:f>IF(AC30&gt;0,"AIGUILLE_RECONSTITUTION","")</x:f>
        <x:v>AIGUILLE_RECONSTITUTION</x:v>
      </x:c>
      <x:c r="AE30" s="48" t="n">
        <x:f>IF(AC30&gt;0,AC30*VLOOKUP(AD30,FACTEURS_ITEMS!$A$3:$J$30,4,FALSE),0)</x:f>
        <x:v>0.01</x:v>
      </x:c>
      <x:c r="AF30" s="48" t="n">
        <x:f>IF(A30="","",AB30+AE30)</x:f>
        <x:v>0.079</x:v>
      </x:c>
      <x:c r="AG30" s="48" t="n">
        <x:f>IF(A30="","",S30+AF30)</x:f>
        <x:v>0.262125</x:v>
      </x:c>
      <x:c r="AH30" t="str">
        <x:f>IF(A30="","",IF(AF30&gt;0,"ACV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1">
      <x:c r="A31" s="49" t="str">
        <x:v>Aztréonam</x:v>
      </x:c>
      <x:c r="B31" s="49" t="str">
        <x:v>Flacon 2 g</x:v>
      </x:c>
      <x:c r="C31" s="49" t="str">
        <x:v>flacon verre</x:v>
      </x:c>
      <x:c r="D31" s="49" t="str">
        <x:v>Aztréonam</x:v>
      </x:c>
      <x:c r="E31" s="49" t="n">
        <x:v>2000</x:v>
      </x:c>
      <x:c r="F31" s="49" t="str"/>
      <x:c r="G31" s="49"/>
      <x:c r="H31" s="49" t="str"/>
      <x:c r="I31" s="49"/>
      <x:c r="J31" s="49" t="n">
        <x:f>IFERROR(SUM(E31,G31,I31)/1000,"")</x:f>
        <x:v>2</x:v>
      </x:c>
      <x:c r="K31" s="49" t="n">
        <x:f>$E$4</x:f>
        <x:v>100</x:v>
      </x:c>
      <x:c r="L31" s="49" t="n">
        <x:f>IF(J31="","",J31/1000*K31*(1+$E$5/100))</x:f>
        <x:v>0.21000000000000002</x:v>
      </x:c>
      <x:c r="M31" s="49" t="n">
        <x:f>IF(J31="","",J31/1000*$E$6)</x:f>
        <x:v>0.00019</x:v>
      </x:c>
      <x:c r="N31" s="49" t="n">
        <x:f>IF(C31="ampoule verre",$E$12,IF(C31="poche PEA",$E$13,$E$11))</x:f>
        <x:v>10</x:v>
      </x:c>
      <x:c r="O31" s="49" t="n">
        <x:f>IF(C31="ampoule verre",$E$8,IF(C31="poche PEA",$E$9,$E$7))</x:f>
        <x:v>7.1</x:v>
      </x:c>
      <x:c r="P31" s="49" t="n">
        <x:f>N31/1000*O31*(1+$E$5/100)</x:f>
        <x:v>0.07454999999999999</x:v>
      </x:c>
      <x:c r="Q31" s="49" t="n">
        <x:f>$E$14</x:f>
        <x:v>3</x:v>
      </x:c>
      <x:c r="R31" s="49" t="n">
        <x:f>Q31/1000*$E$10</x:f>
        <x:v>0.00348</x:v>
      </x:c>
      <x:c r="S31" s="49" t="n">
        <x:f>IF(J31="","",SUM(L31:M31,P31,R31))</x:f>
        <x:v>0.28822</x:v>
      </x:c>
      <x:c r="T31" s="49" t="str">
        <x:f>IF(OR(J31="",K31=$E$4),"Élevé - FE PA générique",IF(W31&lt;&gt;"","À vérifier","Moyen"))</x:f>
        <x:v>Élevé - FE PA générique</x:v>
      </x:c>
      <x:c r="U31" s="49" t="str">
        <x:v>Breaking Stab</x:v>
      </x:c>
      <x:c r="V31" s="49" t="str">
        <x:v>EcovaMED v0.7 + hypothèses internes explicites</x:v>
      </x:c>
      <x:c r="W31" s="49" t="str"/>
      <x:c r="X31" t="str">
        <x:f>IF(A31="","",IF(OR(ISNUMBER(SEARCH("poche",C31)),ISNUMBER(SEARCH("ampoule",C31)),ISNUMBER(SEARCH("plastique",C31))),"Prêt à être dilué / administré (hypothèse)","Reconstitution nécessaire (hypothèse)"))</x:f>
        <x:v>Reconstitution nécessaire (hypothèse)</x:v>
      </x:c>
      <x:c r="Y31" t="str">
        <x:f>IF(A31="","",IF(ISNUMBER(SEARCH("Reconstitution",X31)),"Flacon/poudre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1" t="n">
        <x:f>IF(A31="","",IF(ISNUMBER(SEARCH("Reconstitution",X31)),1,0))</x:f>
        <x:v>1</x:v>
      </x:c>
      <x:c r="AA31" t="str">
        <x:f>IF(Z31&gt;0,"SERINGUE_PP_24ML","")</x:f>
        <x:v>SERINGUE_PP_24ML</x:v>
      </x:c>
      <x:c r="AB31" s="48" t="n">
        <x:f>IF(Z31&gt;0,Z31*VLOOKUP(AA31,FACTEURS_ITEMS!$A$3:$J$30,4,FALSE),0)</x:f>
        <x:v>0.069</x:v>
      </x:c>
      <x:c r="AC31" t="n">
        <x:f>IF(A31="","",IF(ISNUMBER(SEARCH("Reconstitution",X31)),1,0))</x:f>
        <x:v>1</x:v>
      </x:c>
      <x:c r="AD31" t="str">
        <x:f>IF(AC31&gt;0,"AIGUILLE_RECONSTITUTION","")</x:f>
        <x:v>AIGUILLE_RECONSTITUTION</x:v>
      </x:c>
      <x:c r="AE31" s="48" t="n">
        <x:f>IF(AC31&gt;0,AC31*VLOOKUP(AD31,FACTEURS_ITEMS!$A$3:$J$30,4,FALSE),0)</x:f>
        <x:v>0.01</x:v>
      </x:c>
      <x:c r="AF31" s="48" t="n">
        <x:f>IF(A31="","",AB31+AE31)</x:f>
        <x:v>0.079</x:v>
      </x:c>
      <x:c r="AG31" s="48" t="n">
        <x:f>IF(A31="","",S31+AF31)</x:f>
        <x:v>0.36722</x:v>
      </x:c>
      <x:c r="AH31" t="str">
        <x:f>IF(A31="","",IF(AF31&gt;0,"ACV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2">
      <x:c r="A32" s="49" t="str">
        <x:v>Benzylpénicilline</x:v>
      </x:c>
      <x:c r="B32" s="49" t="str">
        <x:v>Flacon 1 MUI ≈ 0,6 g</x:v>
      </x:c>
      <x:c r="C32" s="49" t="str">
        <x:v>flacon verre</x:v>
      </x:c>
      <x:c r="D32" s="49" t="str">
        <x:v>Benzylpénicilline</x:v>
      </x:c>
      <x:c r="E32" s="49" t="n">
        <x:v>600</x:v>
      </x:c>
      <x:c r="F32" s="49" t="str"/>
      <x:c r="G32" s="49"/>
      <x:c r="H32" s="49" t="str"/>
      <x:c r="I32" s="49"/>
      <x:c r="J32" s="49" t="n">
        <x:f>IFERROR(SUM(E32,G32,I32)/1000,"")</x:f>
        <x:v>0.6</x:v>
      </x:c>
      <x:c r="K32" s="49" t="n">
        <x:f>$E$4</x:f>
        <x:v>100</x:v>
      </x:c>
      <x:c r="L32" s="49" t="n">
        <x:f>IF(J32="","",J32/1000*K32*(1+$E$5/100))</x:f>
        <x:v>0.063</x:v>
      </x:c>
      <x:c r="M32" s="49" t="n">
        <x:f>IF(J32="","",J32/1000*$E$6)</x:f>
        <x:v>0.000056999999999999996</x:v>
      </x:c>
      <x:c r="N32" s="49" t="n">
        <x:f>IF(C32="ampoule verre",$E$12,IF(C32="poche PEA",$E$13,$E$11))</x:f>
        <x:v>10</x:v>
      </x:c>
      <x:c r="O32" s="49" t="n">
        <x:f>IF(C32="ampoule verre",$E$8,IF(C32="poche PEA",$E$9,$E$7))</x:f>
        <x:v>7.1</x:v>
      </x:c>
      <x:c r="P32" s="49" t="n">
        <x:f>N32/1000*O32*(1+$E$5/100)</x:f>
        <x:v>0.07454999999999999</x:v>
      </x:c>
      <x:c r="Q32" s="49" t="n">
        <x:f>$E$14</x:f>
        <x:v>3</x:v>
      </x:c>
      <x:c r="R32" s="49" t="n">
        <x:f>Q32/1000*$E$10</x:f>
        <x:v>0.00348</x:v>
      </x:c>
      <x:c r="S32" s="49" t="n">
        <x:f>IF(J32="","",SUM(L32:M32,P32,R32))</x:f>
        <x:v>0.141087</x:v>
      </x:c>
      <x:c r="T32" s="49" t="str">
        <x:f>IF(OR(J32="",K32=$E$4),"Élevé - FE PA générique",IF(W32&lt;&gt;"","À vérifier","Moyen"))</x:f>
        <x:v>Élevé - FE PA générique</x:v>
      </x:c>
      <x:c r="U32" s="49" t="str">
        <x:v>CHICAS/Breaking Stab ; conversion MUI approximative</x:v>
      </x:c>
      <x:c r="V32" s="49" t="str">
        <x:v>EcovaMED v0.7 + hypothèses internes explicites</x:v>
      </x:c>
      <x:c r="W32" s="49" t="str">
        <x:v>Conversion MUI→mg utilisée pour ordre de grandeur ; à confirmer avec la présentation locale.</x:v>
      </x:c>
      <x:c r="X32" t="str">
        <x:f>IF(A32="","",IF(OR(ISNUMBER(SEARCH("poche",C32)),ISNUMBER(SEARCH("ampoule",C32)),ISNUMBER(SEARCH("plastique",C32))),"Prêt à être dilué / administré (hypothèse)","Reconstitution nécessaire (hypothèse)"))</x:f>
        <x:v>Reconstitution nécessaire (hypothèse)</x:v>
      </x:c>
      <x:c r="Y32" t="str">
        <x:f>IF(A32="","",IF(ISNUMBER(SEARCH("Reconstitution",X32)),"Flacon/poudre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2" t="n">
        <x:f>IF(A32="","",IF(ISNUMBER(SEARCH("Reconstitution",X32)),1,0))</x:f>
        <x:v>1</x:v>
      </x:c>
      <x:c r="AA32" t="str">
        <x:f>IF(Z32&gt;0,"SERINGUE_PP_24ML","")</x:f>
        <x:v>SERINGUE_PP_24ML</x:v>
      </x:c>
      <x:c r="AB32" s="48" t="n">
        <x:f>IF(Z32&gt;0,Z32*VLOOKUP(AA32,FACTEURS_ITEMS!$A$3:$J$30,4,FALSE),0)</x:f>
        <x:v>0.069</x:v>
      </x:c>
      <x:c r="AC32" t="n">
        <x:f>IF(A32="","",IF(ISNUMBER(SEARCH("Reconstitution",X32)),1,0))</x:f>
        <x:v>1</x:v>
      </x:c>
      <x:c r="AD32" t="str">
        <x:f>IF(AC32&gt;0,"AIGUILLE_RECONSTITUTION","")</x:f>
        <x:v>AIGUILLE_RECONSTITUTION</x:v>
      </x:c>
      <x:c r="AE32" s="48" t="n">
        <x:f>IF(AC32&gt;0,AC32*VLOOKUP(AD32,FACTEURS_ITEMS!$A$3:$J$30,4,FALSE),0)</x:f>
        <x:v>0.01</x:v>
      </x:c>
      <x:c r="AF32" s="48" t="n">
        <x:f>IF(A32="","",AB32+AE32)</x:f>
        <x:v>0.079</x:v>
      </x:c>
      <x:c r="AG32" s="48" t="n">
        <x:f>IF(A32="","",S32+AF32)</x:f>
        <x:v>0.22008699999999998</x:v>
      </x:c>
      <x:c r="AH32" t="str">
        <x:f>IF(A32="","",IF(AF32&gt;0,"ACV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3">
      <x:c r="A33" s="49" t="str">
        <x:v>Benzylpénicilline</x:v>
      </x:c>
      <x:c r="B33" s="49" t="str">
        <x:v>Flacon 5 MUI ≈ 3 g</x:v>
      </x:c>
      <x:c r="C33" s="49" t="str">
        <x:v>flacon verre</x:v>
      </x:c>
      <x:c r="D33" s="49" t="str">
        <x:v>Benzylpénicilline</x:v>
      </x:c>
      <x:c r="E33" s="49" t="n">
        <x:v>3000</x:v>
      </x:c>
      <x:c r="F33" s="49" t="str"/>
      <x:c r="G33" s="49"/>
      <x:c r="H33" s="49" t="str"/>
      <x:c r="I33" s="49"/>
      <x:c r="J33" s="49" t="n">
        <x:f>IFERROR(SUM(E33,G33,I33)/1000,"")</x:f>
        <x:v>3</x:v>
      </x:c>
      <x:c r="K33" s="49" t="n">
        <x:f>$E$4</x:f>
        <x:v>100</x:v>
      </x:c>
      <x:c r="L33" s="49" t="n">
        <x:f>IF(J33="","",J33/1000*K33*(1+$E$5/100))</x:f>
        <x:v>0.315</x:v>
      </x:c>
      <x:c r="M33" s="49" t="n">
        <x:f>IF(J33="","",J33/1000*$E$6)</x:f>
        <x:v>0.000285</x:v>
      </x:c>
      <x:c r="N33" s="49" t="n">
        <x:f>IF(C33="ampoule verre",$E$12,IF(C33="poche PEA",$E$13,$E$11))</x:f>
        <x:v>10</x:v>
      </x:c>
      <x:c r="O33" s="49" t="n">
        <x:f>IF(C33="ampoule verre",$E$8,IF(C33="poche PEA",$E$9,$E$7))</x:f>
        <x:v>7.1</x:v>
      </x:c>
      <x:c r="P33" s="49" t="n">
        <x:f>N33/1000*O33*(1+$E$5/100)</x:f>
        <x:v>0.07454999999999999</x:v>
      </x:c>
      <x:c r="Q33" s="49" t="n">
        <x:f>$E$14</x:f>
        <x:v>3</x:v>
      </x:c>
      <x:c r="R33" s="49" t="n">
        <x:f>Q33/1000*$E$10</x:f>
        <x:v>0.00348</x:v>
      </x:c>
      <x:c r="S33" s="49" t="n">
        <x:f>IF(J33="","",SUM(L33:M33,P33,R33))</x:f>
        <x:v>0.39331499999999997</x:v>
      </x:c>
      <x:c r="T33" s="49" t="str">
        <x:f>IF(OR(J33="",K33=$E$4),"Élevé - FE PA générique",IF(W33&lt;&gt;"","À vérifier","Moyen"))</x:f>
        <x:v>Élevé - FE PA générique</x:v>
      </x:c>
      <x:c r="U33" s="49" t="str">
        <x:v>CHICAS/Breaking Stab ; conversion MUI approximative</x:v>
      </x:c>
      <x:c r="V33" s="49" t="str">
        <x:v>EcovaMED v0.7 + hypothèses internes explicites</x:v>
      </x:c>
      <x:c r="W33" s="49" t="str">
        <x:v>Conversion MUI→mg utilisée pour ordre de grandeur ; à confirmer avec la présentation locale.</x:v>
      </x:c>
      <x:c r="X33" t="str">
        <x:f>IF(A33="","",IF(OR(ISNUMBER(SEARCH("poche",C33)),ISNUMBER(SEARCH("ampoule",C33)),ISNUMBER(SEARCH("plastique",C33))),"Prêt à être dilué / administré (hypothèse)","Reconstitution nécessaire (hypothèse)"))</x:f>
        <x:v>Reconstitution nécessaire (hypothèse)</x:v>
      </x:c>
      <x:c r="Y33" t="str">
        <x:f>IF(A33="","",IF(ISNUMBER(SEARCH("Reconstitution",X33)),"Flacon/poudre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3" t="n">
        <x:f>IF(A33="","",IF(ISNUMBER(SEARCH("Reconstitution",X33)),1,0))</x:f>
        <x:v>1</x:v>
      </x:c>
      <x:c r="AA33" t="str">
        <x:f>IF(Z33&gt;0,"SERINGUE_PP_24ML","")</x:f>
        <x:v>SERINGUE_PP_24ML</x:v>
      </x:c>
      <x:c r="AB33" s="48" t="n">
        <x:f>IF(Z33&gt;0,Z33*VLOOKUP(AA33,FACTEURS_ITEMS!$A$3:$J$30,4,FALSE),0)</x:f>
        <x:v>0.069</x:v>
      </x:c>
      <x:c r="AC33" t="n">
        <x:f>IF(A33="","",IF(ISNUMBER(SEARCH("Reconstitution",X33)),1,0))</x:f>
        <x:v>1</x:v>
      </x:c>
      <x:c r="AD33" t="str">
        <x:f>IF(AC33&gt;0,"AIGUILLE_RECONSTITUTION","")</x:f>
        <x:v>AIGUILLE_RECONSTITUTION</x:v>
      </x:c>
      <x:c r="AE33" s="48" t="n">
        <x:f>IF(AC33&gt;0,AC33*VLOOKUP(AD33,FACTEURS_ITEMS!$A$3:$J$30,4,FALSE),0)</x:f>
        <x:v>0.01</x:v>
      </x:c>
      <x:c r="AF33" s="48" t="n">
        <x:f>IF(A33="","",AB33+AE33)</x:f>
        <x:v>0.079</x:v>
      </x:c>
      <x:c r="AG33" s="48" t="n">
        <x:f>IF(A33="","",S33+AF33)</x:f>
        <x:v>0.472315</x:v>
      </x:c>
      <x:c r="AH33" t="str">
        <x:f>IF(A33="","",IF(AF33&gt;0,"ACV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4">
      <x:c r="A34" s="49" t="str">
        <x:v>Benzylpénicilline</x:v>
      </x:c>
      <x:c r="B34" s="49" t="str">
        <x:v>Flacon 10 MUI ≈ 6 g</x:v>
      </x:c>
      <x:c r="C34" s="49" t="str">
        <x:v>flacon verre</x:v>
      </x:c>
      <x:c r="D34" s="49" t="str">
        <x:v>Benzylpénicilline</x:v>
      </x:c>
      <x:c r="E34" s="49" t="n">
        <x:v>6000</x:v>
      </x:c>
      <x:c r="F34" s="49" t="str"/>
      <x:c r="G34" s="49"/>
      <x:c r="H34" s="49" t="str"/>
      <x:c r="I34" s="49"/>
      <x:c r="J34" s="49" t="n">
        <x:f>IFERROR(SUM(E34,G34,I34)/1000,"")</x:f>
        <x:v>6</x:v>
      </x:c>
      <x:c r="K34" s="49" t="n">
        <x:f>$E$4</x:f>
        <x:v>100</x:v>
      </x:c>
      <x:c r="L34" s="49" t="n">
        <x:f>IF(J34="","",J34/1000*K34*(1+$E$5/100))</x:f>
        <x:v>0.63</x:v>
      </x:c>
      <x:c r="M34" s="49" t="n">
        <x:f>IF(J34="","",J34/1000*$E$6)</x:f>
        <x:v>0.00057</x:v>
      </x:c>
      <x:c r="N34" s="49" t="n">
        <x:f>IF(C34="ampoule verre",$E$12,IF(C34="poche PEA",$E$13,$E$11))</x:f>
        <x:v>10</x:v>
      </x:c>
      <x:c r="O34" s="49" t="n">
        <x:f>IF(C34="ampoule verre",$E$8,IF(C34="poche PEA",$E$9,$E$7))</x:f>
        <x:v>7.1</x:v>
      </x:c>
      <x:c r="P34" s="49" t="n">
        <x:f>N34/1000*O34*(1+$E$5/100)</x:f>
        <x:v>0.07454999999999999</x:v>
      </x:c>
      <x:c r="Q34" s="49" t="n">
        <x:f>$E$14</x:f>
        <x:v>3</x:v>
      </x:c>
      <x:c r="R34" s="49" t="n">
        <x:f>Q34/1000*$E$10</x:f>
        <x:v>0.00348</x:v>
      </x:c>
      <x:c r="S34" s="49" t="n">
        <x:f>IF(J34="","",SUM(L34:M34,P34,R34))</x:f>
        <x:v>0.7086</x:v>
      </x:c>
      <x:c r="T34" s="49" t="str">
        <x:f>IF(OR(J34="",K34=$E$4),"Élevé - FE PA générique",IF(W34&lt;&gt;"","À vérifier","Moyen"))</x:f>
        <x:v>Élevé - FE PA générique</x:v>
      </x:c>
      <x:c r="U34" s="49" t="str">
        <x:v>CHICAS/Breaking Stab ; conversion MUI approximative</x:v>
      </x:c>
      <x:c r="V34" s="49" t="str">
        <x:v>EcovaMED v0.7 + hypothèses internes explicites</x:v>
      </x:c>
      <x:c r="W34" s="49" t="str">
        <x:v>Conversion MUI→mg utilisée pour ordre de grandeur ; à confirmer avec la présentation locale.</x:v>
      </x:c>
      <x:c r="X34" t="str">
        <x:f>IF(A34="","",IF(OR(ISNUMBER(SEARCH("poche",C34)),ISNUMBER(SEARCH("ampoule",C34)),ISNUMBER(SEARCH("plastique",C34))),"Prêt à être dilué / administré (hypothèse)","Reconstitution nécessaire (hypothèse)"))</x:f>
        <x:v>Reconstitution nécessaire (hypothèse)</x:v>
      </x:c>
      <x:c r="Y34" t="str">
        <x:f>IF(A34="","",IF(ISNUMBER(SEARCH("Reconstitution",X34)),"Flacon/poudre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4" t="n">
        <x:f>IF(A34="","",IF(ISNUMBER(SEARCH("Reconstitution",X34)),1,0))</x:f>
        <x:v>1</x:v>
      </x:c>
      <x:c r="AA34" t="str">
        <x:f>IF(Z34&gt;0,"SERINGUE_PP_24ML","")</x:f>
        <x:v>SERINGUE_PP_24ML</x:v>
      </x:c>
      <x:c r="AB34" s="48" t="n">
        <x:f>IF(Z34&gt;0,Z34*VLOOKUP(AA34,FACTEURS_ITEMS!$A$3:$J$30,4,FALSE),0)</x:f>
        <x:v>0.069</x:v>
      </x:c>
      <x:c r="AC34" t="n">
        <x:f>IF(A34="","",IF(ISNUMBER(SEARCH("Reconstitution",X34)),1,0))</x:f>
        <x:v>1</x:v>
      </x:c>
      <x:c r="AD34" t="str">
        <x:f>IF(AC34&gt;0,"AIGUILLE_RECONSTITUTION","")</x:f>
        <x:v>AIGUILLE_RECONSTITUTION</x:v>
      </x:c>
      <x:c r="AE34" s="48" t="n">
        <x:f>IF(AC34&gt;0,AC34*VLOOKUP(AD34,FACTEURS_ITEMS!$A$3:$J$30,4,FALSE),0)</x:f>
        <x:v>0.01</x:v>
      </x:c>
      <x:c r="AF34" s="48" t="n">
        <x:f>IF(A34="","",AB34+AE34)</x:f>
        <x:v>0.079</x:v>
      </x:c>
      <x:c r="AG34" s="48" t="n">
        <x:f>IF(A34="","",S34+AF34)</x:f>
        <x:v>0.7876</x:v>
      </x:c>
      <x:c r="AH34" t="str">
        <x:f>IF(A34="","",IF(AF34&gt;0,"ACV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5">
      <x:c r="A35" s="49" t="str">
        <x:v>Caspofungine</x:v>
      </x:c>
      <x:c r="B35" s="49" t="str">
        <x:v>Flacon 50 mg</x:v>
      </x:c>
      <x:c r="C35" s="49" t="str">
        <x:v>flacon verre</x:v>
      </x:c>
      <x:c r="D35" s="49" t="str">
        <x:v>Caspofungine</x:v>
      </x:c>
      <x:c r="E35" s="49" t="n">
        <x:v>50</x:v>
      </x:c>
      <x:c r="F35" s="49" t="str"/>
      <x:c r="G35" s="49"/>
      <x:c r="H35" s="49" t="str"/>
      <x:c r="I35" s="49"/>
      <x:c r="J35" s="49" t="n">
        <x:f>IFERROR(SUM(E35,G35,I35)/1000,"")</x:f>
        <x:v>0.05</x:v>
      </x:c>
      <x:c r="K35" s="49" t="n">
        <x:f>$E$4</x:f>
        <x:v>100</x:v>
      </x:c>
      <x:c r="L35" s="49" t="n">
        <x:f>IF(J35="","",J35/1000*K35*(1+$E$5/100))</x:f>
        <x:v>0.00525</x:v>
      </x:c>
      <x:c r="M35" s="49" t="n">
        <x:f>IF(J35="","",J35/1000*$E$6)</x:f>
        <x:v>0.00000475</x:v>
      </x:c>
      <x:c r="N35" s="49" t="n">
        <x:f>IF(C35="ampoule verre",$E$12,IF(C35="poche PEA",$E$13,$E$11))</x:f>
        <x:v>10</x:v>
      </x:c>
      <x:c r="O35" s="49" t="n">
        <x:f>IF(C35="ampoule verre",$E$8,IF(C35="poche PEA",$E$9,$E$7))</x:f>
        <x:v>7.1</x:v>
      </x:c>
      <x:c r="P35" s="49" t="n">
        <x:f>N35/1000*O35*(1+$E$5/100)</x:f>
        <x:v>0.07454999999999999</x:v>
      </x:c>
      <x:c r="Q35" s="49" t="n">
        <x:f>$E$14</x:f>
        <x:v>3</x:v>
      </x:c>
      <x:c r="R35" s="49" t="n">
        <x:f>Q35/1000*$E$10</x:f>
        <x:v>0.00348</x:v>
      </x:c>
      <x:c r="S35" s="49" t="n">
        <x:f>IF(J35="","",SUM(L35:M35,P35,R35))</x:f>
        <x:v>0.08328474999999999</x:v>
      </x:c>
      <x:c r="T35" s="49" t="str">
        <x:f>IF(OR(J35="",K35=$E$4),"Élevé - FE PA générique",IF(W35&lt;&gt;"","À vérifier","Moyen"))</x:f>
        <x:v>Élevé - FE PA générique</x:v>
      </x:c>
      <x:c r="U35" s="49" t="str">
        <x:v>Breaking Stab</x:v>
      </x:c>
      <x:c r="V35" s="49" t="str">
        <x:v>EcovaMED v0.7 + hypothèses internes explicites</x:v>
      </x:c>
      <x:c r="W35" s="49" t="str"/>
      <x:c r="X35" t="str">
        <x:f>IF(A35="","",IF(OR(ISNUMBER(SEARCH("poche",C35)),ISNUMBER(SEARCH("ampoule",C35)),ISNUMBER(SEARCH("plastique",C35))),"Prêt à être dilué / administré (hypothèse)","Reconstitution nécessaire (hypothèse)"))</x:f>
        <x:v>Reconstitution nécessaire (hypothèse)</x:v>
      </x:c>
      <x:c r="Y35" t="str">
        <x:f>IF(A35="","",IF(ISNUMBER(SEARCH("Reconstitution",X35)),"Flacon/poudre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5" t="n">
        <x:f>IF(A35="","",IF(ISNUMBER(SEARCH("Reconstitution",X35)),1,0))</x:f>
        <x:v>1</x:v>
      </x:c>
      <x:c r="AA35" t="str">
        <x:f>IF(Z35&gt;0,"SERINGUE_PP_24ML","")</x:f>
        <x:v>SERINGUE_PP_24ML</x:v>
      </x:c>
      <x:c r="AB35" s="48" t="n">
        <x:f>IF(Z35&gt;0,Z35*VLOOKUP(AA35,FACTEURS_ITEMS!$A$3:$J$30,4,FALSE),0)</x:f>
        <x:v>0.069</x:v>
      </x:c>
      <x:c r="AC35" t="n">
        <x:f>IF(A35="","",IF(ISNUMBER(SEARCH("Reconstitution",X35)),1,0))</x:f>
        <x:v>1</x:v>
      </x:c>
      <x:c r="AD35" t="str">
        <x:f>IF(AC35&gt;0,"AIGUILLE_RECONSTITUTION","")</x:f>
        <x:v>AIGUILLE_RECONSTITUTION</x:v>
      </x:c>
      <x:c r="AE35" s="48" t="n">
        <x:f>IF(AC35&gt;0,AC35*VLOOKUP(AD35,FACTEURS_ITEMS!$A$3:$J$30,4,FALSE),0)</x:f>
        <x:v>0.01</x:v>
      </x:c>
      <x:c r="AF35" s="48" t="n">
        <x:f>IF(A35="","",AB35+AE35)</x:f>
        <x:v>0.079</x:v>
      </x:c>
      <x:c r="AG35" s="48" t="n">
        <x:f>IF(A35="","",S35+AF35)</x:f>
        <x:v>0.16228474999999998</x:v>
      </x:c>
      <x:c r="AH35" t="str">
        <x:f>IF(A35="","",IF(AF35&gt;0,"ACV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6">
      <x:c r="A36" s="49" t="str">
        <x:v>Caspofungine</x:v>
      </x:c>
      <x:c r="B36" s="49" t="str">
        <x:v>Flacon 70 mg</x:v>
      </x:c>
      <x:c r="C36" s="49" t="str">
        <x:v>flacon verre</x:v>
      </x:c>
      <x:c r="D36" s="49" t="str">
        <x:v>Caspofungine</x:v>
      </x:c>
      <x:c r="E36" s="49" t="n">
        <x:v>70</x:v>
      </x:c>
      <x:c r="F36" s="49" t="str"/>
      <x:c r="G36" s="49"/>
      <x:c r="H36" s="49" t="str"/>
      <x:c r="I36" s="49"/>
      <x:c r="J36" s="49" t="n">
        <x:f>IFERROR(SUM(E36,G36,I36)/1000,"")</x:f>
        <x:v>0.07</x:v>
      </x:c>
      <x:c r="K36" s="49" t="n">
        <x:f>$E$4</x:f>
        <x:v>100</x:v>
      </x:c>
      <x:c r="L36" s="49" t="n">
        <x:f>IF(J36="","",J36/1000*K36*(1+$E$5/100))</x:f>
        <x:v>0.0073500000000000015</x:v>
      </x:c>
      <x:c r="M36" s="49" t="n">
        <x:f>IF(J36="","",J36/1000*$E$6)</x:f>
        <x:v>0.000006650000000000001</x:v>
      </x:c>
      <x:c r="N36" s="49" t="n">
        <x:f>IF(C36="ampoule verre",$E$12,IF(C36="poche PEA",$E$13,$E$11))</x:f>
        <x:v>10</x:v>
      </x:c>
      <x:c r="O36" s="49" t="n">
        <x:f>IF(C36="ampoule verre",$E$8,IF(C36="poche PEA",$E$9,$E$7))</x:f>
        <x:v>7.1</x:v>
      </x:c>
      <x:c r="P36" s="49" t="n">
        <x:f>N36/1000*O36*(1+$E$5/100)</x:f>
        <x:v>0.07454999999999999</x:v>
      </x:c>
      <x:c r="Q36" s="49" t="n">
        <x:f>$E$14</x:f>
        <x:v>3</x:v>
      </x:c>
      <x:c r="R36" s="49" t="n">
        <x:f>Q36/1000*$E$10</x:f>
        <x:v>0.00348</x:v>
      </x:c>
      <x:c r="S36" s="49" t="n">
        <x:f>IF(J36="","",SUM(L36:M36,P36,R36))</x:f>
        <x:v>0.08538665</x:v>
      </x:c>
      <x:c r="T36" s="49" t="str">
        <x:f>IF(OR(J36="",K36=$E$4),"Élevé - FE PA générique",IF(W36&lt;&gt;"","À vérifier","Moyen"))</x:f>
        <x:v>Élevé - FE PA générique</x:v>
      </x:c>
      <x:c r="U36" s="49" t="str">
        <x:v>Breaking Stab</x:v>
      </x:c>
      <x:c r="V36" s="49" t="str">
        <x:v>EcovaMED v0.7 + hypothèses internes explicites</x:v>
      </x:c>
      <x:c r="W36" s="49" t="str"/>
      <x:c r="X36" t="str">
        <x:f>IF(A36="","",IF(OR(ISNUMBER(SEARCH("poche",C36)),ISNUMBER(SEARCH("ampoule",C36)),ISNUMBER(SEARCH("plastique",C36))),"Prêt à être dilué / administré (hypothèse)","Reconstitution nécessaire (hypothèse)"))</x:f>
        <x:v>Reconstitution nécessaire (hypothèse)</x:v>
      </x:c>
      <x:c r="Y36" t="str">
        <x:f>IF(A36="","",IF(ISNUMBER(SEARCH("Reconstitution",X36)),"Flacon/poudre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6" t="n">
        <x:f>IF(A36="","",IF(ISNUMBER(SEARCH("Reconstitution",X36)),1,0))</x:f>
        <x:v>1</x:v>
      </x:c>
      <x:c r="AA36" t="str">
        <x:f>IF(Z36&gt;0,"SERINGUE_PP_24ML","")</x:f>
        <x:v>SERINGUE_PP_24ML</x:v>
      </x:c>
      <x:c r="AB36" s="48" t="n">
        <x:f>IF(Z36&gt;0,Z36*VLOOKUP(AA36,FACTEURS_ITEMS!$A$3:$J$30,4,FALSE),0)</x:f>
        <x:v>0.069</x:v>
      </x:c>
      <x:c r="AC36" t="n">
        <x:f>IF(A36="","",IF(ISNUMBER(SEARCH("Reconstitution",X36)),1,0))</x:f>
        <x:v>1</x:v>
      </x:c>
      <x:c r="AD36" t="str">
        <x:f>IF(AC36&gt;0,"AIGUILLE_RECONSTITUTION","")</x:f>
        <x:v>AIGUILLE_RECONSTITUTION</x:v>
      </x:c>
      <x:c r="AE36" s="48" t="n">
        <x:f>IF(AC36&gt;0,AC36*VLOOKUP(AD36,FACTEURS_ITEMS!$A$3:$J$30,4,FALSE),0)</x:f>
        <x:v>0.01</x:v>
      </x:c>
      <x:c r="AF36" s="48" t="n">
        <x:f>IF(A36="","",AB36+AE36)</x:f>
        <x:v>0.079</x:v>
      </x:c>
      <x:c r="AG36" s="48" t="n">
        <x:f>IF(A36="","",S36+AF36)</x:f>
        <x:v>0.16438665</x:v>
      </x:c>
      <x:c r="AH36" t="str">
        <x:f>IF(A36="","",IF(AF36&gt;0,"ACV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7">
      <x:c r="A37" s="49" t="str">
        <x:v>Céfazoline</x:v>
      </x:c>
      <x:c r="B37" s="49" t="str">
        <x:v>Flacon 1 g</x:v>
      </x:c>
      <x:c r="C37" s="49" t="str">
        <x:v>flacon verre</x:v>
      </x:c>
      <x:c r="D37" s="49" t="str">
        <x:v>Céfazoline</x:v>
      </x:c>
      <x:c r="E37" s="49" t="n">
        <x:v>1000</x:v>
      </x:c>
      <x:c r="F37" s="49" t="str"/>
      <x:c r="G37" s="49"/>
      <x:c r="H37" s="49" t="str"/>
      <x:c r="I37" s="49"/>
      <x:c r="J37" s="49" t="n">
        <x:f>IFERROR(SUM(E37,G37,I37)/1000,"")</x:f>
        <x:v>1</x:v>
      </x:c>
      <x:c r="K37" s="49" t="n">
        <x:f>$E$4</x:f>
        <x:v>100</x:v>
      </x:c>
      <x:c r="L37" s="49" t="n">
        <x:f>IF(J37="","",J37/1000*K37*(1+$E$5/100))</x:f>
        <x:v>0.10500000000000001</x:v>
      </x:c>
      <x:c r="M37" s="49" t="n">
        <x:f>IF(J37="","",J37/1000*$E$6)</x:f>
        <x:v>0.000095</x:v>
      </x:c>
      <x:c r="N37" s="49" t="n">
        <x:f>IF(C37="ampoule verre",$E$12,IF(C37="poche PEA",$E$13,$E$11))</x:f>
        <x:v>10</x:v>
      </x:c>
      <x:c r="O37" s="49" t="n">
        <x:f>IF(C37="ampoule verre",$E$8,IF(C37="poche PEA",$E$9,$E$7))</x:f>
        <x:v>7.1</x:v>
      </x:c>
      <x:c r="P37" s="49" t="n">
        <x:f>N37/1000*O37*(1+$E$5/100)</x:f>
        <x:v>0.07454999999999999</x:v>
      </x:c>
      <x:c r="Q37" s="49" t="n">
        <x:f>$E$14</x:f>
        <x:v>3</x:v>
      </x:c>
      <x:c r="R37" s="49" t="n">
        <x:f>Q37/1000*$E$10</x:f>
        <x:v>0.00348</x:v>
      </x:c>
      <x:c r="S37" s="49" t="n">
        <x:f>IF(J37="","",SUM(L37:M37,P37,R37))</x:f>
        <x:v>0.183125</x:v>
      </x:c>
      <x:c r="T37" s="49" t="str">
        <x:f>IF(OR(J37="",K37=$E$4),"Élevé - FE PA générique",IF(W37&lt;&gt;"","À vérifier","Moyen"))</x:f>
        <x:v>Élevé - FE PA générique</x:v>
      </x:c>
      <x:c r="U37" s="49" t="str">
        <x:v>Breaking Stab</x:v>
      </x:c>
      <x:c r="V37" s="49" t="str">
        <x:v>EcovaMED v0.7 + hypothèses internes explicites</x:v>
      </x:c>
      <x:c r="W37" s="49" t="str"/>
      <x:c r="X37" t="str">
        <x:f>IF(A37="","",IF(OR(ISNUMBER(SEARCH("poche",C37)),ISNUMBER(SEARCH("ampoule",C37)),ISNUMBER(SEARCH("plastique",C37))),"Prêt à être dilué / administré (hypothèse)","Reconstitution nécessaire (hypothèse)"))</x:f>
        <x:v>Reconstitution nécessaire (hypothèse)</x:v>
      </x:c>
      <x:c r="Y37" t="str">
        <x:f>IF(A37="","",IF(ISNUMBER(SEARCH("Reconstitution",X37)),"Flacon/poudre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7" t="n">
        <x:f>IF(A37="","",IF(ISNUMBER(SEARCH("Reconstitution",X37)),1,0))</x:f>
        <x:v>1</x:v>
      </x:c>
      <x:c r="AA37" t="str">
        <x:f>IF(Z37&gt;0,"SERINGUE_PP_24ML","")</x:f>
        <x:v>SERINGUE_PP_24ML</x:v>
      </x:c>
      <x:c r="AB37" s="48" t="n">
        <x:f>IF(Z37&gt;0,Z37*VLOOKUP(AA37,FACTEURS_ITEMS!$A$3:$J$30,4,FALSE),0)</x:f>
        <x:v>0.069</x:v>
      </x:c>
      <x:c r="AC37" t="n">
        <x:f>IF(A37="","",IF(ISNUMBER(SEARCH("Reconstitution",X37)),1,0))</x:f>
        <x:v>1</x:v>
      </x:c>
      <x:c r="AD37" t="str">
        <x:f>IF(AC37&gt;0,"AIGUILLE_RECONSTITUTION","")</x:f>
        <x:v>AIGUILLE_RECONSTITUTION</x:v>
      </x:c>
      <x:c r="AE37" s="48" t="n">
        <x:f>IF(AC37&gt;0,AC37*VLOOKUP(AD37,FACTEURS_ITEMS!$A$3:$J$30,4,FALSE),0)</x:f>
        <x:v>0.01</x:v>
      </x:c>
      <x:c r="AF37" s="48" t="n">
        <x:f>IF(A37="","",AB37+AE37)</x:f>
        <x:v>0.079</x:v>
      </x:c>
      <x:c r="AG37" s="48" t="n">
        <x:f>IF(A37="","",S37+AF37)</x:f>
        <x:v>0.262125</x:v>
      </x:c>
      <x:c r="AH37" t="str">
        <x:f>IF(A37="","",IF(AF37&gt;0,"ACV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8">
      <x:c r="A38" s="49" t="str">
        <x:v>Céfazoline</x:v>
      </x:c>
      <x:c r="B38" s="49" t="str">
        <x:v>Flacon 2 g</x:v>
      </x:c>
      <x:c r="C38" s="49" t="str">
        <x:v>flacon verre</x:v>
      </x:c>
      <x:c r="D38" s="49" t="str">
        <x:v>Céfazoline</x:v>
      </x:c>
      <x:c r="E38" s="49" t="n">
        <x:v>2000</x:v>
      </x:c>
      <x:c r="F38" s="49" t="str"/>
      <x:c r="G38" s="49"/>
      <x:c r="H38" s="49" t="str"/>
      <x:c r="I38" s="49"/>
      <x:c r="J38" s="49" t="n">
        <x:f>IFERROR(SUM(E38,G38,I38)/1000,"")</x:f>
        <x:v>2</x:v>
      </x:c>
      <x:c r="K38" s="49" t="n">
        <x:f>$E$4</x:f>
        <x:v>100</x:v>
      </x:c>
      <x:c r="L38" s="49" t="n">
        <x:f>IF(J38="","",J38/1000*K38*(1+$E$5/100))</x:f>
        <x:v>0.21000000000000002</x:v>
      </x:c>
      <x:c r="M38" s="49" t="n">
        <x:f>IF(J38="","",J38/1000*$E$6)</x:f>
        <x:v>0.00019</x:v>
      </x:c>
      <x:c r="N38" s="49" t="n">
        <x:f>IF(C38="ampoule verre",$E$12,IF(C38="poche PEA",$E$13,$E$11))</x:f>
        <x:v>10</x:v>
      </x:c>
      <x:c r="O38" s="49" t="n">
        <x:f>IF(C38="ampoule verre",$E$8,IF(C38="poche PEA",$E$9,$E$7))</x:f>
        <x:v>7.1</x:v>
      </x:c>
      <x:c r="P38" s="49" t="n">
        <x:f>N38/1000*O38*(1+$E$5/100)</x:f>
        <x:v>0.07454999999999999</x:v>
      </x:c>
      <x:c r="Q38" s="49" t="n">
        <x:f>$E$14</x:f>
        <x:v>3</x:v>
      </x:c>
      <x:c r="R38" s="49" t="n">
        <x:f>Q38/1000*$E$10</x:f>
        <x:v>0.00348</x:v>
      </x:c>
      <x:c r="S38" s="49" t="n">
        <x:f>IF(J38="","",SUM(L38:M38,P38,R38))</x:f>
        <x:v>0.28822</x:v>
      </x:c>
      <x:c r="T38" s="49" t="str">
        <x:f>IF(OR(J38="",K38=$E$4),"Élevé - FE PA générique",IF(W38&lt;&gt;"","À vérifier","Moyen"))</x:f>
        <x:v>Élevé - FE PA générique</x:v>
      </x:c>
      <x:c r="U38" s="49" t="str">
        <x:v>Breaking Stab</x:v>
      </x:c>
      <x:c r="V38" s="49" t="str">
        <x:v>EcovaMED v0.7 + hypothèses internes explicites</x:v>
      </x:c>
      <x:c r="W38" s="49" t="str"/>
      <x:c r="X38" t="str">
        <x:f>IF(A38="","",IF(OR(ISNUMBER(SEARCH("poche",C38)),ISNUMBER(SEARCH("ampoule",C38)),ISNUMBER(SEARCH("plastique",C38))),"Prêt à être dilué / administré (hypothèse)","Reconstitution nécessaire (hypothèse)"))</x:f>
        <x:v>Reconstitution nécessaire (hypothèse)</x:v>
      </x:c>
      <x:c r="Y38" t="str">
        <x:f>IF(A38="","",IF(ISNUMBER(SEARCH("Reconstitution",X38)),"Flacon/poudre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8" t="n">
        <x:f>IF(A38="","",IF(ISNUMBER(SEARCH("Reconstitution",X38)),1,0))</x:f>
        <x:v>1</x:v>
      </x:c>
      <x:c r="AA38" t="str">
        <x:f>IF(Z38&gt;0,"SERINGUE_PP_24ML","")</x:f>
        <x:v>SERINGUE_PP_24ML</x:v>
      </x:c>
      <x:c r="AB38" s="48" t="n">
        <x:f>IF(Z38&gt;0,Z38*VLOOKUP(AA38,FACTEURS_ITEMS!$A$3:$J$30,4,FALSE),0)</x:f>
        <x:v>0.069</x:v>
      </x:c>
      <x:c r="AC38" t="n">
        <x:f>IF(A38="","",IF(ISNUMBER(SEARCH("Reconstitution",X38)),1,0))</x:f>
        <x:v>1</x:v>
      </x:c>
      <x:c r="AD38" t="str">
        <x:f>IF(AC38&gt;0,"AIGUILLE_RECONSTITUTION","")</x:f>
        <x:v>AIGUILLE_RECONSTITUTION</x:v>
      </x:c>
      <x:c r="AE38" s="48" t="n">
        <x:f>IF(AC38&gt;0,AC38*VLOOKUP(AD38,FACTEURS_ITEMS!$A$3:$J$30,4,FALSE),0)</x:f>
        <x:v>0.01</x:v>
      </x:c>
      <x:c r="AF38" s="48" t="n">
        <x:f>IF(A38="","",AB38+AE38)</x:f>
        <x:v>0.079</x:v>
      </x:c>
      <x:c r="AG38" s="48" t="n">
        <x:f>IF(A38="","",S38+AF38)</x:f>
        <x:v>0.36722</x:v>
      </x:c>
      <x:c r="AH38" t="str">
        <x:f>IF(A38="","",IF(AF38&gt;0,"ACV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9">
      <x:c r="A39" s="49" t="str">
        <x:v>Céfépime</x:v>
      </x:c>
      <x:c r="B39" s="49" t="str">
        <x:v>Flacon 1 g</x:v>
      </x:c>
      <x:c r="C39" s="49" t="str">
        <x:v>flacon verre</x:v>
      </x:c>
      <x:c r="D39" s="49" t="str">
        <x:v>Céfépime</x:v>
      </x:c>
      <x:c r="E39" s="49" t="n">
        <x:v>1000</x:v>
      </x:c>
      <x:c r="F39" s="49" t="str"/>
      <x:c r="G39" s="49"/>
      <x:c r="H39" s="49" t="str"/>
      <x:c r="I39" s="49"/>
      <x:c r="J39" s="49" t="n">
        <x:f>IFERROR(SUM(E39,G39,I39)/1000,"")</x:f>
        <x:v>1</x:v>
      </x:c>
      <x:c r="K39" s="49" t="n">
        <x:f>$E$4</x:f>
        <x:v>100</x:v>
      </x:c>
      <x:c r="L39" s="49" t="n">
        <x:f>IF(J39="","",J39/1000*K39*(1+$E$5/100))</x:f>
        <x:v>0.10500000000000001</x:v>
      </x:c>
      <x:c r="M39" s="49" t="n">
        <x:f>IF(J39="","",J39/1000*$E$6)</x:f>
        <x:v>0.000095</x:v>
      </x:c>
      <x:c r="N39" s="49" t="n">
        <x:f>IF(C39="ampoule verre",$E$12,IF(C39="poche PEA",$E$13,$E$11))</x:f>
        <x:v>10</x:v>
      </x:c>
      <x:c r="O39" s="49" t="n">
        <x:f>IF(C39="ampoule verre",$E$8,IF(C39="poche PEA",$E$9,$E$7))</x:f>
        <x:v>7.1</x:v>
      </x:c>
      <x:c r="P39" s="49" t="n">
        <x:f>N39/1000*O39*(1+$E$5/100)</x:f>
        <x:v>0.07454999999999999</x:v>
      </x:c>
      <x:c r="Q39" s="49" t="n">
        <x:f>$E$14</x:f>
        <x:v>3</x:v>
      </x:c>
      <x:c r="R39" s="49" t="n">
        <x:f>Q39/1000*$E$10</x:f>
        <x:v>0.00348</x:v>
      </x:c>
      <x:c r="S39" s="49" t="n">
        <x:f>IF(J39="","",SUM(L39:M39,P39,R39))</x:f>
        <x:v>0.183125</x:v>
      </x:c>
      <x:c r="T39" s="49" t="str">
        <x:f>IF(OR(J39="",K39=$E$4),"Élevé - FE PA générique",IF(W39&lt;&gt;"","À vérifier","Moyen"))</x:f>
        <x:v>Élevé - FE PA générique</x:v>
      </x:c>
      <x:c r="U39" s="49" t="str">
        <x:v>Breaking Stab</x:v>
      </x:c>
      <x:c r="V39" s="49" t="str">
        <x:v>EcovaMED v0.7 + hypothèses internes explicites</x:v>
      </x:c>
      <x:c r="W39" s="49" t="str"/>
      <x:c r="X39" t="str">
        <x:f>IF(A39="","",IF(OR(ISNUMBER(SEARCH("poche",C39)),ISNUMBER(SEARCH("ampoule",C39)),ISNUMBER(SEARCH("plastique",C39))),"Prêt à être dilué / administré (hypothèse)","Reconstitution nécessaire (hypothèse)"))</x:f>
        <x:v>Reconstitution nécessaire (hypothèse)</x:v>
      </x:c>
      <x:c r="Y39" t="str">
        <x:f>IF(A39="","",IF(ISNUMBER(SEARCH("Reconstitution",X39)),"Flacon/poudre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9" t="n">
        <x:f>IF(A39="","",IF(ISNUMBER(SEARCH("Reconstitution",X39)),1,0))</x:f>
        <x:v>1</x:v>
      </x:c>
      <x:c r="AA39" t="str">
        <x:f>IF(Z39&gt;0,"SERINGUE_PP_24ML","")</x:f>
        <x:v>SERINGUE_PP_24ML</x:v>
      </x:c>
      <x:c r="AB39" s="48" t="n">
        <x:f>IF(Z39&gt;0,Z39*VLOOKUP(AA39,FACTEURS_ITEMS!$A$3:$J$30,4,FALSE),0)</x:f>
        <x:v>0.069</x:v>
      </x:c>
      <x:c r="AC39" t="n">
        <x:f>IF(A39="","",IF(ISNUMBER(SEARCH("Reconstitution",X39)),1,0))</x:f>
        <x:v>1</x:v>
      </x:c>
      <x:c r="AD39" t="str">
        <x:f>IF(AC39&gt;0,"AIGUILLE_RECONSTITUTION","")</x:f>
        <x:v>AIGUILLE_RECONSTITUTION</x:v>
      </x:c>
      <x:c r="AE39" s="48" t="n">
        <x:f>IF(AC39&gt;0,AC39*VLOOKUP(AD39,FACTEURS_ITEMS!$A$3:$J$30,4,FALSE),0)</x:f>
        <x:v>0.01</x:v>
      </x:c>
      <x:c r="AF39" s="48" t="n">
        <x:f>IF(A39="","",AB39+AE39)</x:f>
        <x:v>0.079</x:v>
      </x:c>
      <x:c r="AG39" s="48" t="n">
        <x:f>IF(A39="","",S39+AF39)</x:f>
        <x:v>0.262125</x:v>
      </x:c>
      <x:c r="AH39" t="str">
        <x:f>IF(A39="","",IF(AF39&gt;0,"ACV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0">
      <x:c r="A40" s="49" t="str">
        <x:v>Céfépime</x:v>
      </x:c>
      <x:c r="B40" s="49" t="str">
        <x:v>Flacon 2 g</x:v>
      </x:c>
      <x:c r="C40" s="49" t="str">
        <x:v>flacon verre</x:v>
      </x:c>
      <x:c r="D40" s="49" t="str">
        <x:v>Céfépime</x:v>
      </x:c>
      <x:c r="E40" s="49" t="n">
        <x:v>2000</x:v>
      </x:c>
      <x:c r="F40" s="49" t="str"/>
      <x:c r="G40" s="49"/>
      <x:c r="H40" s="49" t="str"/>
      <x:c r="I40" s="49"/>
      <x:c r="J40" s="49" t="n">
        <x:f>IFERROR(SUM(E40,G40,I40)/1000,"")</x:f>
        <x:v>2</x:v>
      </x:c>
      <x:c r="K40" s="49" t="n">
        <x:f>$E$4</x:f>
        <x:v>100</x:v>
      </x:c>
      <x:c r="L40" s="49" t="n">
        <x:f>IF(J40="","",J40/1000*K40*(1+$E$5/100))</x:f>
        <x:v>0.21000000000000002</x:v>
      </x:c>
      <x:c r="M40" s="49" t="n">
        <x:f>IF(J40="","",J40/1000*$E$6)</x:f>
        <x:v>0.00019</x:v>
      </x:c>
      <x:c r="N40" s="49" t="n">
        <x:f>IF(C40="ampoule verre",$E$12,IF(C40="poche PEA",$E$13,$E$11))</x:f>
        <x:v>10</x:v>
      </x:c>
      <x:c r="O40" s="49" t="n">
        <x:f>IF(C40="ampoule verre",$E$8,IF(C40="poche PEA",$E$9,$E$7))</x:f>
        <x:v>7.1</x:v>
      </x:c>
      <x:c r="P40" s="49" t="n">
        <x:f>N40/1000*O40*(1+$E$5/100)</x:f>
        <x:v>0.07454999999999999</x:v>
      </x:c>
      <x:c r="Q40" s="49" t="n">
        <x:f>$E$14</x:f>
        <x:v>3</x:v>
      </x:c>
      <x:c r="R40" s="49" t="n">
        <x:f>Q40/1000*$E$10</x:f>
        <x:v>0.00348</x:v>
      </x:c>
      <x:c r="S40" s="49" t="n">
        <x:f>IF(J40="","",SUM(L40:M40,P40,R40))</x:f>
        <x:v>0.28822</x:v>
      </x:c>
      <x:c r="T40" s="49" t="str">
        <x:f>IF(OR(J40="",K40=$E$4),"Élevé - FE PA générique",IF(W40&lt;&gt;"","À vérifier","Moyen"))</x:f>
        <x:v>Élevé - FE PA générique</x:v>
      </x:c>
      <x:c r="U40" s="49" t="str">
        <x:v>Breaking Stab</x:v>
      </x:c>
      <x:c r="V40" s="49" t="str">
        <x:v>EcovaMED v0.7 + hypothèses internes explicites</x:v>
      </x:c>
      <x:c r="W40" s="49" t="str"/>
      <x:c r="X40" t="str">
        <x:f>IF(A40="","",IF(OR(ISNUMBER(SEARCH("poche",C40)),ISNUMBER(SEARCH("ampoule",C40)),ISNUMBER(SEARCH("plastique",C40))),"Prêt à être dilué / administré (hypothèse)","Reconstitution nécessaire (hypothèse)"))</x:f>
        <x:v>Reconstitution nécessaire (hypothèse)</x:v>
      </x:c>
      <x:c r="Y40" t="str">
        <x:f>IF(A40="","",IF(ISNUMBER(SEARCH("Reconstitution",X40)),"Flacon/poudre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0" t="n">
        <x:f>IF(A40="","",IF(ISNUMBER(SEARCH("Reconstitution",X40)),1,0))</x:f>
        <x:v>1</x:v>
      </x:c>
      <x:c r="AA40" t="str">
        <x:f>IF(Z40&gt;0,"SERINGUE_PP_24ML","")</x:f>
        <x:v>SERINGUE_PP_24ML</x:v>
      </x:c>
      <x:c r="AB40" s="48" t="n">
        <x:f>IF(Z40&gt;0,Z40*VLOOKUP(AA40,FACTEURS_ITEMS!$A$3:$J$30,4,FALSE),0)</x:f>
        <x:v>0.069</x:v>
      </x:c>
      <x:c r="AC40" t="n">
        <x:f>IF(A40="","",IF(ISNUMBER(SEARCH("Reconstitution",X40)),1,0))</x:f>
        <x:v>1</x:v>
      </x:c>
      <x:c r="AD40" t="str">
        <x:f>IF(AC40&gt;0,"AIGUILLE_RECONSTITUTION","")</x:f>
        <x:v>AIGUILLE_RECONSTITUTION</x:v>
      </x:c>
      <x:c r="AE40" s="48" t="n">
        <x:f>IF(AC40&gt;0,AC40*VLOOKUP(AD40,FACTEURS_ITEMS!$A$3:$J$30,4,FALSE),0)</x:f>
        <x:v>0.01</x:v>
      </x:c>
      <x:c r="AF40" s="48" t="n">
        <x:f>IF(A40="","",AB40+AE40)</x:f>
        <x:v>0.079</x:v>
      </x:c>
      <x:c r="AG40" s="48" t="n">
        <x:f>IF(A40="","",S40+AF40)</x:f>
        <x:v>0.36722</x:v>
      </x:c>
      <x:c r="AH40" t="str">
        <x:f>IF(A40="","",IF(AF40&gt;0,"ACV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1">
      <x:c r="A41" s="49" t="str">
        <x:v>Céfidérocol</x:v>
      </x:c>
      <x:c r="B41" s="49" t="str">
        <x:v>Flacon 1 g</x:v>
      </x:c>
      <x:c r="C41" s="49" t="str">
        <x:v>flacon verre</x:v>
      </x:c>
      <x:c r="D41" s="49" t="str">
        <x:v>Céfidérocol</x:v>
      </x:c>
      <x:c r="E41" s="49" t="n">
        <x:v>1000</x:v>
      </x:c>
      <x:c r="F41" s="49" t="str"/>
      <x:c r="G41" s="49"/>
      <x:c r="H41" s="49" t="str"/>
      <x:c r="I41" s="49"/>
      <x:c r="J41" s="49" t="n">
        <x:f>IFERROR(SUM(E41,G41,I41)/1000,"")</x:f>
        <x:v>1</x:v>
      </x:c>
      <x:c r="K41" s="49" t="n">
        <x:f>$E$4</x:f>
        <x:v>100</x:v>
      </x:c>
      <x:c r="L41" s="49" t="n">
        <x:f>IF(J41="","",J41/1000*K41*(1+$E$5/100))</x:f>
        <x:v>0.10500000000000001</x:v>
      </x:c>
      <x:c r="M41" s="49" t="n">
        <x:f>IF(J41="","",J41/1000*$E$6)</x:f>
        <x:v>0.000095</x:v>
      </x:c>
      <x:c r="N41" s="49" t="n">
        <x:f>IF(C41="ampoule verre",$E$12,IF(C41="poche PEA",$E$13,$E$11))</x:f>
        <x:v>10</x:v>
      </x:c>
      <x:c r="O41" s="49" t="n">
        <x:f>IF(C41="ampoule verre",$E$8,IF(C41="poche PEA",$E$9,$E$7))</x:f>
        <x:v>7.1</x:v>
      </x:c>
      <x:c r="P41" s="49" t="n">
        <x:f>N41/1000*O41*(1+$E$5/100)</x:f>
        <x:v>0.07454999999999999</x:v>
      </x:c>
      <x:c r="Q41" s="49" t="n">
        <x:f>$E$14</x:f>
        <x:v>3</x:v>
      </x:c>
      <x:c r="R41" s="49" t="n">
        <x:f>Q41/1000*$E$10</x:f>
        <x:v>0.00348</x:v>
      </x:c>
      <x:c r="S41" s="49" t="n">
        <x:f>IF(J41="","",SUM(L41:M41,P41,R41))</x:f>
        <x:v>0.183125</x:v>
      </x:c>
      <x:c r="T41" s="49" t="str">
        <x:f>IF(OR(J41="",K41=$E$4),"Élevé - FE PA générique",IF(W41&lt;&gt;"","À vérifier","Moyen"))</x:f>
        <x:v>Élevé - FE PA générique</x:v>
      </x:c>
      <x:c r="U41" s="49" t="str">
        <x:v>CHICAS/Breaking Stab</x:v>
      </x:c>
      <x:c r="V41" s="49" t="str">
        <x:v>EcovaMED v0.7 + hypothèses internes explicites</x:v>
      </x:c>
      <x:c r="W41" s="49" t="str"/>
      <x:c r="X41" t="str">
        <x:f>IF(A41="","",IF(OR(ISNUMBER(SEARCH("poche",C41)),ISNUMBER(SEARCH("ampoule",C41)),ISNUMBER(SEARCH("plastique",C41))),"Prêt à être dilué / administré (hypothèse)","Reconstitution nécessaire (hypothèse)"))</x:f>
        <x:v>Reconstitution nécessaire (hypothèse)</x:v>
      </x:c>
      <x:c r="Y41" t="str">
        <x:f>IF(A41="","",IF(ISNUMBER(SEARCH("Reconstitution",X41)),"Flacon/poudre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1" t="n">
        <x:f>IF(A41="","",IF(ISNUMBER(SEARCH("Reconstitution",X41)),1,0))</x:f>
        <x:v>1</x:v>
      </x:c>
      <x:c r="AA41" t="str">
        <x:f>IF(Z41&gt;0,"SERINGUE_PP_24ML","")</x:f>
        <x:v>SERINGUE_PP_24ML</x:v>
      </x:c>
      <x:c r="AB41" s="48" t="n">
        <x:f>IF(Z41&gt;0,Z41*VLOOKUP(AA41,FACTEURS_ITEMS!$A$3:$J$30,4,FALSE),0)</x:f>
        <x:v>0.069</x:v>
      </x:c>
      <x:c r="AC41" t="n">
        <x:f>IF(A41="","",IF(ISNUMBER(SEARCH("Reconstitution",X41)),1,0))</x:f>
        <x:v>1</x:v>
      </x:c>
      <x:c r="AD41" t="str">
        <x:f>IF(AC41&gt;0,"AIGUILLE_RECONSTITUTION","")</x:f>
        <x:v>AIGUILLE_RECONSTITUTION</x:v>
      </x:c>
      <x:c r="AE41" s="48" t="n">
        <x:f>IF(AC41&gt;0,AC41*VLOOKUP(AD41,FACTEURS_ITEMS!$A$3:$J$30,4,FALSE),0)</x:f>
        <x:v>0.01</x:v>
      </x:c>
      <x:c r="AF41" s="48" t="n">
        <x:f>IF(A41="","",AB41+AE41)</x:f>
        <x:v>0.079</x:v>
      </x:c>
      <x:c r="AG41" s="48" t="n">
        <x:f>IF(A41="","",S41+AF41)</x:f>
        <x:v>0.262125</x:v>
      </x:c>
      <x:c r="AH41" t="str">
        <x:f>IF(A41="","",IF(AF41&gt;0,"ACV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2">
      <x:c r="A42" s="49" t="str">
        <x:v>Céfotaxime</x:v>
      </x:c>
      <x:c r="B42" s="49" t="str">
        <x:v>Flacon 1 g</x:v>
      </x:c>
      <x:c r="C42" s="49" t="str">
        <x:v>flacon verre</x:v>
      </x:c>
      <x:c r="D42" s="49" t="str">
        <x:v>Céfotaxime</x:v>
      </x:c>
      <x:c r="E42" s="49" t="n">
        <x:v>1000</x:v>
      </x:c>
      <x:c r="F42" s="49" t="str"/>
      <x:c r="G42" s="49"/>
      <x:c r="H42" s="49" t="str"/>
      <x:c r="I42" s="49"/>
      <x:c r="J42" s="49" t="n">
        <x:f>IFERROR(SUM(E42,G42,I42)/1000,"")</x:f>
        <x:v>1</x:v>
      </x:c>
      <x:c r="K42" s="49" t="n">
        <x:f>$E$4</x:f>
        <x:v>100</x:v>
      </x:c>
      <x:c r="L42" s="49" t="n">
        <x:f>IF(J42="","",J42/1000*K42*(1+$E$5/100))</x:f>
        <x:v>0.10500000000000001</x:v>
      </x:c>
      <x:c r="M42" s="49" t="n">
        <x:f>IF(J42="","",J42/1000*$E$6)</x:f>
        <x:v>0.000095</x:v>
      </x:c>
      <x:c r="N42" s="49" t="n">
        <x:f>IF(C42="ampoule verre",$E$12,IF(C42="poche PEA",$E$13,$E$11))</x:f>
        <x:v>10</x:v>
      </x:c>
      <x:c r="O42" s="49" t="n">
        <x:f>IF(C42="ampoule verre",$E$8,IF(C42="poche PEA",$E$9,$E$7))</x:f>
        <x:v>7.1</x:v>
      </x:c>
      <x:c r="P42" s="49" t="n">
        <x:f>N42/1000*O42*(1+$E$5/100)</x:f>
        <x:v>0.07454999999999999</x:v>
      </x:c>
      <x:c r="Q42" s="49" t="n">
        <x:f>$E$14</x:f>
        <x:v>3</x:v>
      </x:c>
      <x:c r="R42" s="49" t="n">
        <x:f>Q42/1000*$E$10</x:f>
        <x:v>0.00348</x:v>
      </x:c>
      <x:c r="S42" s="49" t="n">
        <x:f>IF(J42="","",SUM(L42:M42,P42,R42))</x:f>
        <x:v>0.183125</x:v>
      </x:c>
      <x:c r="T42" s="49" t="str">
        <x:f>IF(OR(J42="",K42=$E$4),"Élevé - FE PA générique",IF(W42&lt;&gt;"","À vérifier","Moyen"))</x:f>
        <x:v>Élevé - FE PA générique</x:v>
      </x:c>
      <x:c r="U42" s="49" t="str">
        <x:v>Breaking Stab</x:v>
      </x:c>
      <x:c r="V42" s="49" t="str">
        <x:v>EcovaMED v0.7 + hypothèses internes explicites</x:v>
      </x:c>
      <x:c r="W42" s="49" t="str"/>
      <x:c r="X42" t="str">
        <x:f>IF(A42="","",IF(OR(ISNUMBER(SEARCH("poche",C42)),ISNUMBER(SEARCH("ampoule",C42)),ISNUMBER(SEARCH("plastique",C42))),"Prêt à être dilué / administré (hypothèse)","Reconstitution nécessaire (hypothèse)"))</x:f>
        <x:v>Reconstitution nécessaire (hypothèse)</x:v>
      </x:c>
      <x:c r="Y42" t="str">
        <x:f>IF(A42="","",IF(ISNUMBER(SEARCH("Reconstitution",X42)),"Flacon/poudre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2" t="n">
        <x:f>IF(A42="","",IF(ISNUMBER(SEARCH("Reconstitution",X42)),1,0))</x:f>
        <x:v>1</x:v>
      </x:c>
      <x:c r="AA42" t="str">
        <x:f>IF(Z42&gt;0,"SERINGUE_PP_24ML","")</x:f>
        <x:v>SERINGUE_PP_24ML</x:v>
      </x:c>
      <x:c r="AB42" s="48" t="n">
        <x:f>IF(Z42&gt;0,Z42*VLOOKUP(AA42,FACTEURS_ITEMS!$A$3:$J$30,4,FALSE),0)</x:f>
        <x:v>0.069</x:v>
      </x:c>
      <x:c r="AC42" t="n">
        <x:f>IF(A42="","",IF(ISNUMBER(SEARCH("Reconstitution",X42)),1,0))</x:f>
        <x:v>1</x:v>
      </x:c>
      <x:c r="AD42" t="str">
        <x:f>IF(AC42&gt;0,"AIGUILLE_RECONSTITUTION","")</x:f>
        <x:v>AIGUILLE_RECONSTITUTION</x:v>
      </x:c>
      <x:c r="AE42" s="48" t="n">
        <x:f>IF(AC42&gt;0,AC42*VLOOKUP(AD42,FACTEURS_ITEMS!$A$3:$J$30,4,FALSE),0)</x:f>
        <x:v>0.01</x:v>
      </x:c>
      <x:c r="AF42" s="48" t="n">
        <x:f>IF(A42="","",AB42+AE42)</x:f>
        <x:v>0.079</x:v>
      </x:c>
      <x:c r="AG42" s="48" t="n">
        <x:f>IF(A42="","",S42+AF42)</x:f>
        <x:v>0.262125</x:v>
      </x:c>
      <x:c r="AH42" t="str">
        <x:f>IF(A42="","",IF(AF42&gt;0,"ACV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3">
      <x:c r="A43" s="49" t="str">
        <x:v>Céfotaxime</x:v>
      </x:c>
      <x:c r="B43" s="49" t="str">
        <x:v>Flacon 2 g</x:v>
      </x:c>
      <x:c r="C43" s="49" t="str">
        <x:v>flacon verre</x:v>
      </x:c>
      <x:c r="D43" s="49" t="str">
        <x:v>Céfotaxime</x:v>
      </x:c>
      <x:c r="E43" s="49" t="n">
        <x:v>2000</x:v>
      </x:c>
      <x:c r="F43" s="49" t="str"/>
      <x:c r="G43" s="49"/>
      <x:c r="H43" s="49" t="str"/>
      <x:c r="I43" s="49"/>
      <x:c r="J43" s="49" t="n">
        <x:f>IFERROR(SUM(E43,G43,I43)/1000,"")</x:f>
        <x:v>2</x:v>
      </x:c>
      <x:c r="K43" s="49" t="n">
        <x:f>$E$4</x:f>
        <x:v>100</x:v>
      </x:c>
      <x:c r="L43" s="49" t="n">
        <x:f>IF(J43="","",J43/1000*K43*(1+$E$5/100))</x:f>
        <x:v>0.21000000000000002</x:v>
      </x:c>
      <x:c r="M43" s="49" t="n">
        <x:f>IF(J43="","",J43/1000*$E$6)</x:f>
        <x:v>0.00019</x:v>
      </x:c>
      <x:c r="N43" s="49" t="n">
        <x:f>IF(C43="ampoule verre",$E$12,IF(C43="poche PEA",$E$13,$E$11))</x:f>
        <x:v>10</x:v>
      </x:c>
      <x:c r="O43" s="49" t="n">
        <x:f>IF(C43="ampoule verre",$E$8,IF(C43="poche PEA",$E$9,$E$7))</x:f>
        <x:v>7.1</x:v>
      </x:c>
      <x:c r="P43" s="49" t="n">
        <x:f>N43/1000*O43*(1+$E$5/100)</x:f>
        <x:v>0.07454999999999999</x:v>
      </x:c>
      <x:c r="Q43" s="49" t="n">
        <x:f>$E$14</x:f>
        <x:v>3</x:v>
      </x:c>
      <x:c r="R43" s="49" t="n">
        <x:f>Q43/1000*$E$10</x:f>
        <x:v>0.00348</x:v>
      </x:c>
      <x:c r="S43" s="49" t="n">
        <x:f>IF(J43="","",SUM(L43:M43,P43,R43))</x:f>
        <x:v>0.28822</x:v>
      </x:c>
      <x:c r="T43" s="49" t="str">
        <x:f>IF(OR(J43="",K43=$E$4),"Élevé - FE PA générique",IF(W43&lt;&gt;"","À vérifier","Moyen"))</x:f>
        <x:v>Élevé - FE PA générique</x:v>
      </x:c>
      <x:c r="U43" s="49" t="str">
        <x:v>Breaking Stab</x:v>
      </x:c>
      <x:c r="V43" s="49" t="str">
        <x:v>EcovaMED v0.7 + hypothèses internes explicites</x:v>
      </x:c>
      <x:c r="W43" s="49" t="str"/>
      <x:c r="X43" t="str">
        <x:f>IF(A43="","",IF(OR(ISNUMBER(SEARCH("poche",C43)),ISNUMBER(SEARCH("ampoule",C43)),ISNUMBER(SEARCH("plastique",C43))),"Prêt à être dilué / administré (hypothèse)","Reconstitution nécessaire (hypothèse)"))</x:f>
        <x:v>Reconstitution nécessaire (hypothèse)</x:v>
      </x:c>
      <x:c r="Y43" t="str">
        <x:f>IF(A43="","",IF(ISNUMBER(SEARCH("Reconstitution",X43)),"Flacon/poudre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3" t="n">
        <x:f>IF(A43="","",IF(ISNUMBER(SEARCH("Reconstitution",X43)),1,0))</x:f>
        <x:v>1</x:v>
      </x:c>
      <x:c r="AA43" t="str">
        <x:f>IF(Z43&gt;0,"SERINGUE_PP_24ML","")</x:f>
        <x:v>SERINGUE_PP_24ML</x:v>
      </x:c>
      <x:c r="AB43" s="48" t="n">
        <x:f>IF(Z43&gt;0,Z43*VLOOKUP(AA43,FACTEURS_ITEMS!$A$3:$J$30,4,FALSE),0)</x:f>
        <x:v>0.069</x:v>
      </x:c>
      <x:c r="AC43" t="n">
        <x:f>IF(A43="","",IF(ISNUMBER(SEARCH("Reconstitution",X43)),1,0))</x:f>
        <x:v>1</x:v>
      </x:c>
      <x:c r="AD43" t="str">
        <x:f>IF(AC43&gt;0,"AIGUILLE_RECONSTITUTION","")</x:f>
        <x:v>AIGUILLE_RECONSTITUTION</x:v>
      </x:c>
      <x:c r="AE43" s="48" t="n">
        <x:f>IF(AC43&gt;0,AC43*VLOOKUP(AD43,FACTEURS_ITEMS!$A$3:$J$30,4,FALSE),0)</x:f>
        <x:v>0.01</x:v>
      </x:c>
      <x:c r="AF43" s="48" t="n">
        <x:f>IF(A43="","",AB43+AE43)</x:f>
        <x:v>0.079</x:v>
      </x:c>
      <x:c r="AG43" s="48" t="n">
        <x:f>IF(A43="","",S43+AF43)</x:f>
        <x:v>0.36722</x:v>
      </x:c>
      <x:c r="AH43" t="str">
        <x:f>IF(A43="","",IF(AF43&gt;0,"ACV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4">
      <x:c r="A44" s="49" t="str">
        <x:v>Ceftazidime</x:v>
      </x:c>
      <x:c r="B44" s="49" t="str">
        <x:v>Flacon 1 g</x:v>
      </x:c>
      <x:c r="C44" s="49" t="str">
        <x:v>flacon verre</x:v>
      </x:c>
      <x:c r="D44" s="49" t="str">
        <x:v>Ceftazidime</x:v>
      </x:c>
      <x:c r="E44" s="49" t="n">
        <x:v>1000</x:v>
      </x:c>
      <x:c r="F44" s="49" t="str"/>
      <x:c r="G44" s="49"/>
      <x:c r="H44" s="49" t="str"/>
      <x:c r="I44" s="49"/>
      <x:c r="J44" s="49" t="n">
        <x:f>IFERROR(SUM(E44,G44,I44)/1000,"")</x:f>
        <x:v>1</x:v>
      </x:c>
      <x:c r="K44" s="49" t="n">
        <x:f>$E$4</x:f>
        <x:v>100</x:v>
      </x:c>
      <x:c r="L44" s="49" t="n">
        <x:f>IF(J44="","",J44/1000*K44*(1+$E$5/100))</x:f>
        <x:v>0.10500000000000001</x:v>
      </x:c>
      <x:c r="M44" s="49" t="n">
        <x:f>IF(J44="","",J44/1000*$E$6)</x:f>
        <x:v>0.000095</x:v>
      </x:c>
      <x:c r="N44" s="49" t="n">
        <x:f>IF(C44="ampoule verre",$E$12,IF(C44="poche PEA",$E$13,$E$11))</x:f>
        <x:v>10</x:v>
      </x:c>
      <x:c r="O44" s="49" t="n">
        <x:f>IF(C44="ampoule verre",$E$8,IF(C44="poche PEA",$E$9,$E$7))</x:f>
        <x:v>7.1</x:v>
      </x:c>
      <x:c r="P44" s="49" t="n">
        <x:f>N44/1000*O44*(1+$E$5/100)</x:f>
        <x:v>0.07454999999999999</x:v>
      </x:c>
      <x:c r="Q44" s="49" t="n">
        <x:f>$E$14</x:f>
        <x:v>3</x:v>
      </x:c>
      <x:c r="R44" s="49" t="n">
        <x:f>Q44/1000*$E$10</x:f>
        <x:v>0.00348</x:v>
      </x:c>
      <x:c r="S44" s="49" t="n">
        <x:f>IF(J44="","",SUM(L44:M44,P44,R44))</x:f>
        <x:v>0.183125</x:v>
      </x:c>
      <x:c r="T44" s="49" t="str">
        <x:f>IF(OR(J44="",K44=$E$4),"Élevé - FE PA générique",IF(W44&lt;&gt;"","À vérifier","Moyen"))</x:f>
        <x:v>Élevé - FE PA générique</x:v>
      </x:c>
      <x:c r="U44" s="49" t="str">
        <x:v>Breaking Stab</x:v>
      </x:c>
      <x:c r="V44" s="49" t="str">
        <x:v>EcovaMED v0.7 + hypothèses internes explicites</x:v>
      </x:c>
      <x:c r="W44" s="49" t="str"/>
      <x:c r="X44" t="str">
        <x:f>IF(A44="","",IF(OR(ISNUMBER(SEARCH("poche",C44)),ISNUMBER(SEARCH("ampoule",C44)),ISNUMBER(SEARCH("plastique",C44))),"Prêt à être dilué / administré (hypothèse)","Reconstitution nécessaire (hypothèse)"))</x:f>
        <x:v>Reconstitution nécessaire (hypothèse)</x:v>
      </x:c>
      <x:c r="Y44" t="str">
        <x:f>IF(A44="","",IF(ISNUMBER(SEARCH("Reconstitution",X44)),"Flacon/poudre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4" t="n">
        <x:f>IF(A44="","",IF(ISNUMBER(SEARCH("Reconstitution",X44)),1,0))</x:f>
        <x:v>1</x:v>
      </x:c>
      <x:c r="AA44" t="str">
        <x:f>IF(Z44&gt;0,"SERINGUE_PP_24ML","")</x:f>
        <x:v>SERINGUE_PP_24ML</x:v>
      </x:c>
      <x:c r="AB44" s="48" t="n">
        <x:f>IF(Z44&gt;0,Z44*VLOOKUP(AA44,FACTEURS_ITEMS!$A$3:$J$30,4,FALSE),0)</x:f>
        <x:v>0.069</x:v>
      </x:c>
      <x:c r="AC44" t="n">
        <x:f>IF(A44="","",IF(ISNUMBER(SEARCH("Reconstitution",X44)),1,0))</x:f>
        <x:v>1</x:v>
      </x:c>
      <x:c r="AD44" t="str">
        <x:f>IF(AC44&gt;0,"AIGUILLE_RECONSTITUTION","")</x:f>
        <x:v>AIGUILLE_RECONSTITUTION</x:v>
      </x:c>
      <x:c r="AE44" s="48" t="n">
        <x:f>IF(AC44&gt;0,AC44*VLOOKUP(AD44,FACTEURS_ITEMS!$A$3:$J$30,4,FALSE),0)</x:f>
        <x:v>0.01</x:v>
      </x:c>
      <x:c r="AF44" s="48" t="n">
        <x:f>IF(A44="","",AB44+AE44)</x:f>
        <x:v>0.079</x:v>
      </x:c>
      <x:c r="AG44" s="48" t="n">
        <x:f>IF(A44="","",S44+AF44)</x:f>
        <x:v>0.262125</x:v>
      </x:c>
      <x:c r="AH44" t="str">
        <x:f>IF(A44="","",IF(AF44&gt;0,"ACV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5">
      <x:c r="A45" s="49" t="str">
        <x:v>Ceftazidime</x:v>
      </x:c>
      <x:c r="B45" s="49" t="str">
        <x:v>Flacon 2 g</x:v>
      </x:c>
      <x:c r="C45" s="49" t="str">
        <x:v>flacon verre</x:v>
      </x:c>
      <x:c r="D45" s="49" t="str">
        <x:v>Ceftazidime</x:v>
      </x:c>
      <x:c r="E45" s="49" t="n">
        <x:v>2000</x:v>
      </x:c>
      <x:c r="F45" s="49" t="str"/>
      <x:c r="G45" s="49"/>
      <x:c r="H45" s="49" t="str"/>
      <x:c r="I45" s="49"/>
      <x:c r="J45" s="49" t="n">
        <x:f>IFERROR(SUM(E45,G45,I45)/1000,"")</x:f>
        <x:v>2</x:v>
      </x:c>
      <x:c r="K45" s="49" t="n">
        <x:f>$E$4</x:f>
        <x:v>100</x:v>
      </x:c>
      <x:c r="L45" s="49" t="n">
        <x:f>IF(J45="","",J45/1000*K45*(1+$E$5/100))</x:f>
        <x:v>0.21000000000000002</x:v>
      </x:c>
      <x:c r="M45" s="49" t="n">
        <x:f>IF(J45="","",J45/1000*$E$6)</x:f>
        <x:v>0.00019</x:v>
      </x:c>
      <x:c r="N45" s="49" t="n">
        <x:f>IF(C45="ampoule verre",$E$12,IF(C45="poche PEA",$E$13,$E$11))</x:f>
        <x:v>10</x:v>
      </x:c>
      <x:c r="O45" s="49" t="n">
        <x:f>IF(C45="ampoule verre",$E$8,IF(C45="poche PEA",$E$9,$E$7))</x:f>
        <x:v>7.1</x:v>
      </x:c>
      <x:c r="P45" s="49" t="n">
        <x:f>N45/1000*O45*(1+$E$5/100)</x:f>
        <x:v>0.07454999999999999</x:v>
      </x:c>
      <x:c r="Q45" s="49" t="n">
        <x:f>$E$14</x:f>
        <x:v>3</x:v>
      </x:c>
      <x:c r="R45" s="49" t="n">
        <x:f>Q45/1000*$E$10</x:f>
        <x:v>0.00348</x:v>
      </x:c>
      <x:c r="S45" s="49" t="n">
        <x:f>IF(J45="","",SUM(L45:M45,P45,R45))</x:f>
        <x:v>0.28822</x:v>
      </x:c>
      <x:c r="T45" s="49" t="str">
        <x:f>IF(OR(J45="",K45=$E$4),"Élevé - FE PA générique",IF(W45&lt;&gt;"","À vérifier","Moyen"))</x:f>
        <x:v>Élevé - FE PA générique</x:v>
      </x:c>
      <x:c r="U45" s="49" t="str">
        <x:v>Breaking Stab</x:v>
      </x:c>
      <x:c r="V45" s="49" t="str">
        <x:v>EcovaMED v0.7 + hypothèses internes explicites</x:v>
      </x:c>
      <x:c r="W45" s="49" t="str"/>
      <x:c r="X45" t="str">
        <x:f>IF(A45="","",IF(OR(ISNUMBER(SEARCH("poche",C45)),ISNUMBER(SEARCH("ampoule",C45)),ISNUMBER(SEARCH("plastique",C45))),"Prêt à être dilué / administré (hypothèse)","Reconstitution nécessaire (hypothèse)"))</x:f>
        <x:v>Reconstitution nécessaire (hypothèse)</x:v>
      </x:c>
      <x:c r="Y45" t="str">
        <x:f>IF(A45="","",IF(ISNUMBER(SEARCH("Reconstitution",X45)),"Flacon/poudre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5" t="n">
        <x:f>IF(A45="","",IF(ISNUMBER(SEARCH("Reconstitution",X45)),1,0))</x:f>
        <x:v>1</x:v>
      </x:c>
      <x:c r="AA45" t="str">
        <x:f>IF(Z45&gt;0,"SERINGUE_PP_24ML","")</x:f>
        <x:v>SERINGUE_PP_24ML</x:v>
      </x:c>
      <x:c r="AB45" s="48" t="n">
        <x:f>IF(Z45&gt;0,Z45*VLOOKUP(AA45,FACTEURS_ITEMS!$A$3:$J$30,4,FALSE),0)</x:f>
        <x:v>0.069</x:v>
      </x:c>
      <x:c r="AC45" t="n">
        <x:f>IF(A45="","",IF(ISNUMBER(SEARCH("Reconstitution",X45)),1,0))</x:f>
        <x:v>1</x:v>
      </x:c>
      <x:c r="AD45" t="str">
        <x:f>IF(AC45&gt;0,"AIGUILLE_RECONSTITUTION","")</x:f>
        <x:v>AIGUILLE_RECONSTITUTION</x:v>
      </x:c>
      <x:c r="AE45" s="48" t="n">
        <x:f>IF(AC45&gt;0,AC45*VLOOKUP(AD45,FACTEURS_ITEMS!$A$3:$J$30,4,FALSE),0)</x:f>
        <x:v>0.01</x:v>
      </x:c>
      <x:c r="AF45" s="48" t="n">
        <x:f>IF(A45="","",AB45+AE45)</x:f>
        <x:v>0.079</x:v>
      </x:c>
      <x:c r="AG45" s="48" t="n">
        <x:f>IF(A45="","",S45+AF45)</x:f>
        <x:v>0.36722</x:v>
      </x:c>
      <x:c r="AH45" t="str">
        <x:f>IF(A45="","",IF(AF45&gt;0,"ACV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6">
      <x:c r="A46" s="49" t="str">
        <x:v>Ceftriaxone</x:v>
      </x:c>
      <x:c r="B46" s="49" t="str">
        <x:v>Flacon 1 g</x:v>
      </x:c>
      <x:c r="C46" s="49" t="str">
        <x:v>flacon verre</x:v>
      </x:c>
      <x:c r="D46" s="49" t="str">
        <x:v>Ceftriaxone</x:v>
      </x:c>
      <x:c r="E46" s="49" t="n">
        <x:v>1000</x:v>
      </x:c>
      <x:c r="F46" s="49" t="str"/>
      <x:c r="G46" s="49"/>
      <x:c r="H46" s="49" t="str"/>
      <x:c r="I46" s="49"/>
      <x:c r="J46" s="49" t="n">
        <x:f>IFERROR(SUM(E46,G46,I46)/1000,"")</x:f>
        <x:v>1</x:v>
      </x:c>
      <x:c r="K46" s="49" t="n">
        <x:f>$E$4</x:f>
        <x:v>100</x:v>
      </x:c>
      <x:c r="L46" s="49" t="n">
        <x:f>IF(J46="","",J46/1000*K46*(1+$E$5/100))</x:f>
        <x:v>0.10500000000000001</x:v>
      </x:c>
      <x:c r="M46" s="49" t="n">
        <x:f>IF(J46="","",J46/1000*$E$6)</x:f>
        <x:v>0.000095</x:v>
      </x:c>
      <x:c r="N46" s="49" t="n">
        <x:f>IF(C46="ampoule verre",$E$12,IF(C46="poche PEA",$E$13,$E$11))</x:f>
        <x:v>10</x:v>
      </x:c>
      <x:c r="O46" s="49" t="n">
        <x:f>IF(C46="ampoule verre",$E$8,IF(C46="poche PEA",$E$9,$E$7))</x:f>
        <x:v>7.1</x:v>
      </x:c>
      <x:c r="P46" s="49" t="n">
        <x:f>N46/1000*O46*(1+$E$5/100)</x:f>
        <x:v>0.07454999999999999</x:v>
      </x:c>
      <x:c r="Q46" s="49" t="n">
        <x:f>$E$14</x:f>
        <x:v>3</x:v>
      </x:c>
      <x:c r="R46" s="49" t="n">
        <x:f>Q46/1000*$E$10</x:f>
        <x:v>0.00348</x:v>
      </x:c>
      <x:c r="S46" s="49" t="n">
        <x:f>IF(J46="","",SUM(L46:M46,P46,R46))</x:f>
        <x:v>0.183125</x:v>
      </x:c>
      <x:c r="T46" s="49" t="str">
        <x:f>IF(OR(J46="",K46=$E$4),"Élevé - FE PA générique",IF(W46&lt;&gt;"","À vérifier","Moyen"))</x:f>
        <x:v>Élevé - FE PA générique</x:v>
      </x:c>
      <x:c r="U46" s="49" t="str">
        <x:v>Breaking Stab</x:v>
      </x:c>
      <x:c r="V46" s="49" t="str">
        <x:v>EcovaMED v0.7 + hypothèses internes explicites</x:v>
      </x:c>
      <x:c r="W46" s="49" t="str"/>
      <x:c r="X46" t="str">
        <x:f>IF(A46="","",IF(OR(ISNUMBER(SEARCH("poche",C46)),ISNUMBER(SEARCH("ampoule",C46)),ISNUMBER(SEARCH("plastique",C46))),"Prêt à être dilué / administré (hypothèse)","Reconstitution nécessaire (hypothèse)"))</x:f>
        <x:v>Reconstitution nécessaire (hypothèse)</x:v>
      </x:c>
      <x:c r="Y46" t="str">
        <x:f>IF(A46="","",IF(ISNUMBER(SEARCH("Reconstitution",X46)),"Flacon/poudre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6" t="n">
        <x:f>IF(A46="","",IF(ISNUMBER(SEARCH("Reconstitution",X46)),1,0))</x:f>
        <x:v>1</x:v>
      </x:c>
      <x:c r="AA46" t="str">
        <x:f>IF(Z46&gt;0,"SERINGUE_PP_24ML","")</x:f>
        <x:v>SERINGUE_PP_24ML</x:v>
      </x:c>
      <x:c r="AB46" s="48" t="n">
        <x:f>IF(Z46&gt;0,Z46*VLOOKUP(AA46,FACTEURS_ITEMS!$A$3:$J$30,4,FALSE),0)</x:f>
        <x:v>0.069</x:v>
      </x:c>
      <x:c r="AC46" t="n">
        <x:f>IF(A46="","",IF(ISNUMBER(SEARCH("Reconstitution",X46)),1,0))</x:f>
        <x:v>1</x:v>
      </x:c>
      <x:c r="AD46" t="str">
        <x:f>IF(AC46&gt;0,"AIGUILLE_RECONSTITUTION","")</x:f>
        <x:v>AIGUILLE_RECONSTITUTION</x:v>
      </x:c>
      <x:c r="AE46" s="48" t="n">
        <x:f>IF(AC46&gt;0,AC46*VLOOKUP(AD46,FACTEURS_ITEMS!$A$3:$J$30,4,FALSE),0)</x:f>
        <x:v>0.01</x:v>
      </x:c>
      <x:c r="AF46" s="48" t="n">
        <x:f>IF(A46="","",AB46+AE46)</x:f>
        <x:v>0.079</x:v>
      </x:c>
      <x:c r="AG46" s="48" t="n">
        <x:f>IF(A46="","",S46+AF46)</x:f>
        <x:v>0.262125</x:v>
      </x:c>
      <x:c r="AH46" t="str">
        <x:f>IF(A46="","",IF(AF46&gt;0,"ACV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7">
      <x:c r="A47" s="49" t="str">
        <x:v>Ceftriaxone</x:v>
      </x:c>
      <x:c r="B47" s="49" t="str">
        <x:v>Flacon 2 g</x:v>
      </x:c>
      <x:c r="C47" s="49" t="str">
        <x:v>flacon verre</x:v>
      </x:c>
      <x:c r="D47" s="49" t="str">
        <x:v>Ceftriaxone</x:v>
      </x:c>
      <x:c r="E47" s="49" t="n">
        <x:v>2000</x:v>
      </x:c>
      <x:c r="F47" s="49" t="str"/>
      <x:c r="G47" s="49"/>
      <x:c r="H47" s="49" t="str"/>
      <x:c r="I47" s="49"/>
      <x:c r="J47" s="49" t="n">
        <x:f>IFERROR(SUM(E47,G47,I47)/1000,"")</x:f>
        <x:v>2</x:v>
      </x:c>
      <x:c r="K47" s="49" t="n">
        <x:f>$E$4</x:f>
        <x:v>100</x:v>
      </x:c>
      <x:c r="L47" s="49" t="n">
        <x:f>IF(J47="","",J47/1000*K47*(1+$E$5/100))</x:f>
        <x:v>0.21000000000000002</x:v>
      </x:c>
      <x:c r="M47" s="49" t="n">
        <x:f>IF(J47="","",J47/1000*$E$6)</x:f>
        <x:v>0.00019</x:v>
      </x:c>
      <x:c r="N47" s="49" t="n">
        <x:f>IF(C47="ampoule verre",$E$12,IF(C47="poche PEA",$E$13,$E$11))</x:f>
        <x:v>10</x:v>
      </x:c>
      <x:c r="O47" s="49" t="n">
        <x:f>IF(C47="ampoule verre",$E$8,IF(C47="poche PEA",$E$9,$E$7))</x:f>
        <x:v>7.1</x:v>
      </x:c>
      <x:c r="P47" s="49" t="n">
        <x:f>N47/1000*O47*(1+$E$5/100)</x:f>
        <x:v>0.07454999999999999</x:v>
      </x:c>
      <x:c r="Q47" s="49" t="n">
        <x:f>$E$14</x:f>
        <x:v>3</x:v>
      </x:c>
      <x:c r="R47" s="49" t="n">
        <x:f>Q47/1000*$E$10</x:f>
        <x:v>0.00348</x:v>
      </x:c>
      <x:c r="S47" s="49" t="n">
        <x:f>IF(J47="","",SUM(L47:M47,P47,R47))</x:f>
        <x:v>0.28822</x:v>
      </x:c>
      <x:c r="T47" s="49" t="str">
        <x:f>IF(OR(J47="",K47=$E$4),"Élevé - FE PA générique",IF(W47&lt;&gt;"","À vérifier","Moyen"))</x:f>
        <x:v>Élevé - FE PA générique</x:v>
      </x:c>
      <x:c r="U47" s="49" t="str">
        <x:v>Breaking Stab</x:v>
      </x:c>
      <x:c r="V47" s="49" t="str">
        <x:v>EcovaMED v0.7 + hypothèses internes explicites</x:v>
      </x:c>
      <x:c r="W47" s="49" t="str"/>
      <x:c r="X47" t="str">
        <x:f>IF(A47="","",IF(OR(ISNUMBER(SEARCH("poche",C47)),ISNUMBER(SEARCH("ampoule",C47)),ISNUMBER(SEARCH("plastique",C47))),"Prêt à être dilué / administré (hypothèse)","Reconstitution nécessaire (hypothèse)"))</x:f>
        <x:v>Reconstitution nécessaire (hypothèse)</x:v>
      </x:c>
      <x:c r="Y47" t="str">
        <x:f>IF(A47="","",IF(ISNUMBER(SEARCH("Reconstitution",X47)),"Flacon/poudre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7" t="n">
        <x:f>IF(A47="","",IF(ISNUMBER(SEARCH("Reconstitution",X47)),1,0))</x:f>
        <x:v>1</x:v>
      </x:c>
      <x:c r="AA47" t="str">
        <x:f>IF(Z47&gt;0,"SERINGUE_PP_24ML","")</x:f>
        <x:v>SERINGUE_PP_24ML</x:v>
      </x:c>
      <x:c r="AB47" s="48" t="n">
        <x:f>IF(Z47&gt;0,Z47*VLOOKUP(AA47,FACTEURS_ITEMS!$A$3:$J$30,4,FALSE),0)</x:f>
        <x:v>0.069</x:v>
      </x:c>
      <x:c r="AC47" t="n">
        <x:f>IF(A47="","",IF(ISNUMBER(SEARCH("Reconstitution",X47)),1,0))</x:f>
        <x:v>1</x:v>
      </x:c>
      <x:c r="AD47" t="str">
        <x:f>IF(AC47&gt;0,"AIGUILLE_RECONSTITUTION","")</x:f>
        <x:v>AIGUILLE_RECONSTITUTION</x:v>
      </x:c>
      <x:c r="AE47" s="48" t="n">
        <x:f>IF(AC47&gt;0,AC47*VLOOKUP(AD47,FACTEURS_ITEMS!$A$3:$J$30,4,FALSE),0)</x:f>
        <x:v>0.01</x:v>
      </x:c>
      <x:c r="AF47" s="48" t="n">
        <x:f>IF(A47="","",AB47+AE47)</x:f>
        <x:v>0.079</x:v>
      </x:c>
      <x:c r="AG47" s="48" t="n">
        <x:f>IF(A47="","",S47+AF47)</x:f>
        <x:v>0.36722</x:v>
      </x:c>
      <x:c r="AH47" t="str">
        <x:f>IF(A47="","",IF(AF47&gt;0,"ACV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8">
      <x:c r="A48" s="49" t="str">
        <x:v>Cefuroxime</x:v>
      </x:c>
      <x:c r="B48" s="49" t="str">
        <x:v>Flacon 750 mg</x:v>
      </x:c>
      <x:c r="C48" s="49" t="str">
        <x:v>flacon verre</x:v>
      </x:c>
      <x:c r="D48" s="49" t="str">
        <x:v>Cefuroxime</x:v>
      </x:c>
      <x:c r="E48" s="49" t="n">
        <x:v>750</x:v>
      </x:c>
      <x:c r="F48" s="49" t="str"/>
      <x:c r="G48" s="49"/>
      <x:c r="H48" s="49" t="str"/>
      <x:c r="I48" s="49"/>
      <x:c r="J48" s="49" t="n">
        <x:f>IFERROR(SUM(E48,G48,I48)/1000,"")</x:f>
        <x:v>0.75</x:v>
      </x:c>
      <x:c r="K48" s="49" t="n">
        <x:f>$E$4</x:f>
        <x:v>100</x:v>
      </x:c>
      <x:c r="L48" s="49" t="n">
        <x:f>IF(J48="","",J48/1000*K48*(1+$E$5/100))</x:f>
        <x:v>0.07875</x:v>
      </x:c>
      <x:c r="M48" s="49" t="n">
        <x:f>IF(J48="","",J48/1000*$E$6)</x:f>
        <x:v>0.00007125</x:v>
      </x:c>
      <x:c r="N48" s="49" t="n">
        <x:f>IF(C48="ampoule verre",$E$12,IF(C48="poche PEA",$E$13,$E$11))</x:f>
        <x:v>10</x:v>
      </x:c>
      <x:c r="O48" s="49" t="n">
        <x:f>IF(C48="ampoule verre",$E$8,IF(C48="poche PEA",$E$9,$E$7))</x:f>
        <x:v>7.1</x:v>
      </x:c>
      <x:c r="P48" s="49" t="n">
        <x:f>N48/1000*O48*(1+$E$5/100)</x:f>
        <x:v>0.07454999999999999</x:v>
      </x:c>
      <x:c r="Q48" s="49" t="n">
        <x:f>$E$14</x:f>
        <x:v>3</x:v>
      </x:c>
      <x:c r="R48" s="49" t="n">
        <x:f>Q48/1000*$E$10</x:f>
        <x:v>0.00348</x:v>
      </x:c>
      <x:c r="S48" s="49" t="n">
        <x:f>IF(J48="","",SUM(L48:M48,P48,R48))</x:f>
        <x:v>0.15685125</x:v>
      </x:c>
      <x:c r="T48" s="49" t="str">
        <x:f>IF(OR(J48="",K48=$E$4),"Élevé - FE PA générique",IF(W48&lt;&gt;"","À vérifier","Moyen"))</x:f>
        <x:v>Élevé - FE PA générique</x:v>
      </x:c>
      <x:c r="U48" s="49" t="str">
        <x:v>Micrel/Breaking Stab</x:v>
      </x:c>
      <x:c r="V48" s="49" t="str">
        <x:v>EcovaMED v0.7 + hypothèses internes explicites</x:v>
      </x:c>
      <x:c r="W48" s="49" t="str"/>
      <x:c r="X48" t="str">
        <x:f>IF(A48="","",IF(OR(ISNUMBER(SEARCH("poche",C48)),ISNUMBER(SEARCH("ampoule",C48)),ISNUMBER(SEARCH("plastique",C48))),"Prêt à être dilué / administré (hypothèse)","Reconstitution nécessaire (hypothèse)"))</x:f>
        <x:v>Reconstitution nécessaire (hypothèse)</x:v>
      </x:c>
      <x:c r="Y48" t="str">
        <x:f>IF(A48="","",IF(ISNUMBER(SEARCH("Reconstitution",X48)),"Flacon/poudre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8" t="n">
        <x:f>IF(A48="","",IF(ISNUMBER(SEARCH("Reconstitution",X48)),1,0))</x:f>
        <x:v>1</x:v>
      </x:c>
      <x:c r="AA48" t="str">
        <x:f>IF(Z48&gt;0,"SERINGUE_PP_24ML","")</x:f>
        <x:v>SERINGUE_PP_24ML</x:v>
      </x:c>
      <x:c r="AB48" s="48" t="n">
        <x:f>IF(Z48&gt;0,Z48*VLOOKUP(AA48,FACTEURS_ITEMS!$A$3:$J$30,4,FALSE),0)</x:f>
        <x:v>0.069</x:v>
      </x:c>
      <x:c r="AC48" t="n">
        <x:f>IF(A48="","",IF(ISNUMBER(SEARCH("Reconstitution",X48)),1,0))</x:f>
        <x:v>1</x:v>
      </x:c>
      <x:c r="AD48" t="str">
        <x:f>IF(AC48&gt;0,"AIGUILLE_RECONSTITUTION","")</x:f>
        <x:v>AIGUILLE_RECONSTITUTION</x:v>
      </x:c>
      <x:c r="AE48" s="48" t="n">
        <x:f>IF(AC48&gt;0,AC48*VLOOKUP(AD48,FACTEURS_ITEMS!$A$3:$J$30,4,FALSE),0)</x:f>
        <x:v>0.01</x:v>
      </x:c>
      <x:c r="AF48" s="48" t="n">
        <x:f>IF(A48="","",AB48+AE48)</x:f>
        <x:v>0.079</x:v>
      </x:c>
      <x:c r="AG48" s="48" t="n">
        <x:f>IF(A48="","",S48+AF48)</x:f>
        <x:v>0.23585125</x:v>
      </x:c>
      <x:c r="AH48" t="str">
        <x:f>IF(A48="","",IF(AF48&gt;0,"ACV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9">
      <x:c r="A49" s="49" t="str">
        <x:v>Cefuroxime</x:v>
      </x:c>
      <x:c r="B49" s="49" t="str">
        <x:v>Flacon 1,5 g</x:v>
      </x:c>
      <x:c r="C49" s="49" t="str">
        <x:v>flacon verre</x:v>
      </x:c>
      <x:c r="D49" s="49" t="str">
        <x:v>Cefuroxime</x:v>
      </x:c>
      <x:c r="E49" s="49" t="n">
        <x:v>1500</x:v>
      </x:c>
      <x:c r="F49" s="49" t="str"/>
      <x:c r="G49" s="49"/>
      <x:c r="H49" s="49" t="str"/>
      <x:c r="I49" s="49"/>
      <x:c r="J49" s="49" t="n">
        <x:f>IFERROR(SUM(E49,G49,I49)/1000,"")</x:f>
        <x:v>1.5</x:v>
      </x:c>
      <x:c r="K49" s="49" t="n">
        <x:f>$E$4</x:f>
        <x:v>100</x:v>
      </x:c>
      <x:c r="L49" s="49" t="n">
        <x:f>IF(J49="","",J49/1000*K49*(1+$E$5/100))</x:f>
        <x:v>0.1575</x:v>
      </x:c>
      <x:c r="M49" s="49" t="n">
        <x:f>IF(J49="","",J49/1000*$E$6)</x:f>
        <x:v>0.0001425</x:v>
      </x:c>
      <x:c r="N49" s="49" t="n">
        <x:f>IF(C49="ampoule verre",$E$12,IF(C49="poche PEA",$E$13,$E$11))</x:f>
        <x:v>10</x:v>
      </x:c>
      <x:c r="O49" s="49" t="n">
        <x:f>IF(C49="ampoule verre",$E$8,IF(C49="poche PEA",$E$9,$E$7))</x:f>
        <x:v>7.1</x:v>
      </x:c>
      <x:c r="P49" s="49" t="n">
        <x:f>N49/1000*O49*(1+$E$5/100)</x:f>
        <x:v>0.07454999999999999</x:v>
      </x:c>
      <x:c r="Q49" s="49" t="n">
        <x:f>$E$14</x:f>
        <x:v>3</x:v>
      </x:c>
      <x:c r="R49" s="49" t="n">
        <x:f>Q49/1000*$E$10</x:f>
        <x:v>0.00348</x:v>
      </x:c>
      <x:c r="S49" s="49" t="n">
        <x:f>IF(J49="","",SUM(L49:M49,P49,R49))</x:f>
        <x:v>0.23567249999999998</x:v>
      </x:c>
      <x:c r="T49" s="49" t="str">
        <x:f>IF(OR(J49="",K49=$E$4),"Élevé - FE PA générique",IF(W49&lt;&gt;"","À vérifier","Moyen"))</x:f>
        <x:v>Élevé - FE PA générique</x:v>
      </x:c>
      <x:c r="U49" s="49" t="str">
        <x:v>Micrel/Breaking Stab</x:v>
      </x:c>
      <x:c r="V49" s="49" t="str">
        <x:v>EcovaMED v0.7 + hypothèses internes explicites</x:v>
      </x:c>
      <x:c r="W49" s="49" t="str"/>
      <x:c r="X49" t="str">
        <x:f>IF(A49="","",IF(OR(ISNUMBER(SEARCH("poche",C49)),ISNUMBER(SEARCH("ampoule",C49)),ISNUMBER(SEARCH("plastique",C49))),"Prêt à être dilué / administré (hypothèse)","Reconstitution nécessaire (hypothèse)"))</x:f>
        <x:v>Reconstitution nécessaire (hypothèse)</x:v>
      </x:c>
      <x:c r="Y49" t="str">
        <x:f>IF(A49="","",IF(ISNUMBER(SEARCH("Reconstitution",X49)),"Flacon/poudre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9" t="n">
        <x:f>IF(A49="","",IF(ISNUMBER(SEARCH("Reconstitution",X49)),1,0))</x:f>
        <x:v>1</x:v>
      </x:c>
      <x:c r="AA49" t="str">
        <x:f>IF(Z49&gt;0,"SERINGUE_PP_24ML","")</x:f>
        <x:v>SERINGUE_PP_24ML</x:v>
      </x:c>
      <x:c r="AB49" s="48" t="n">
        <x:f>IF(Z49&gt;0,Z49*VLOOKUP(AA49,FACTEURS_ITEMS!$A$3:$J$30,4,FALSE),0)</x:f>
        <x:v>0.069</x:v>
      </x:c>
      <x:c r="AC49" t="n">
        <x:f>IF(A49="","",IF(ISNUMBER(SEARCH("Reconstitution",X49)),1,0))</x:f>
        <x:v>1</x:v>
      </x:c>
      <x:c r="AD49" t="str">
        <x:f>IF(AC49&gt;0,"AIGUILLE_RECONSTITUTION","")</x:f>
        <x:v>AIGUILLE_RECONSTITUTION</x:v>
      </x:c>
      <x:c r="AE49" s="48" t="n">
        <x:f>IF(AC49&gt;0,AC49*VLOOKUP(AD49,FACTEURS_ITEMS!$A$3:$J$30,4,FALSE),0)</x:f>
        <x:v>0.01</x:v>
      </x:c>
      <x:c r="AF49" s="48" t="n">
        <x:f>IF(A49="","",AB49+AE49)</x:f>
        <x:v>0.079</x:v>
      </x:c>
      <x:c r="AG49" s="48" t="n">
        <x:f>IF(A49="","",S49+AF49)</x:f>
        <x:v>0.31467249999999997</x:v>
      </x:c>
      <x:c r="AH49" t="str">
        <x:f>IF(A49="","",IF(AF49&gt;0,"ACV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50">
      <x:c r="A50" s="49" t="str">
        <x:v>Ciprofloxacine</x:v>
      </x:c>
      <x:c r="B50" s="49" t="str">
        <x:v>Poche prêt-à-l’emploi 200 mg</x:v>
      </x:c>
      <x:c r="C50" s="49" t="str">
        <x:v>poche PEA</x:v>
      </x:c>
      <x:c r="D50" s="49" t="str">
        <x:v>Ciprofloxacine</x:v>
      </x:c>
      <x:c r="E50" s="49" t="n">
        <x:v>200</x:v>
      </x:c>
      <x:c r="F50" s="49" t="str"/>
      <x:c r="G50" s="49"/>
      <x:c r="H50" s="49" t="str"/>
      <x:c r="I50" s="49"/>
      <x:c r="J50" s="49" t="n">
        <x:f>IFERROR(SUM(E50,G50,I50)/1000,"")</x:f>
        <x:v>0.2</x:v>
      </x:c>
      <x:c r="K50" s="49" t="n">
        <x:f>$E$4</x:f>
        <x:v>100</x:v>
      </x:c>
      <x:c r="L50" s="49" t="n">
        <x:f>IF(J50="","",J50/1000*K50*(1+$E$5/100))</x:f>
        <x:v>0.021</x:v>
      </x:c>
      <x:c r="M50" s="49" t="n">
        <x:f>IF(J50="","",J50/1000*$E$6)</x:f>
        <x:v>0.000019</x:v>
      </x:c>
      <x:c r="N50" s="49" t="n">
        <x:f>IF(C50="ampoule verre",$E$12,IF(C50="poche PEA",$E$13,$E$11))</x:f>
        <x:v>20</x:v>
      </x:c>
      <x:c r="O50" s="49" t="n">
        <x:f>IF(C50="ampoule verre",$E$8,IF(C50="poche PEA",$E$9,$E$7))</x:f>
        <x:v>4.2</x:v>
      </x:c>
      <x:c r="P50" s="49" t="n">
        <x:f>N50/1000*O50*(1+$E$5/100)</x:f>
        <x:v>0.08820000000000001</x:v>
      </x:c>
      <x:c r="Q50" s="49" t="n">
        <x:f>$E$14</x:f>
        <x:v>3</x:v>
      </x:c>
      <x:c r="R50" s="49" t="n">
        <x:f>Q50/1000*$E$10</x:f>
        <x:v>0.00348</x:v>
      </x:c>
      <x:c r="S50" s="49" t="n">
        <x:f>IF(J50="","",SUM(L50:M50,P50,R50))</x:f>
        <x:v>0.11269900000000001</x:v>
      </x:c>
      <x:c r="T50" s="49" t="str">
        <x:f>IF(OR(J50="",K50=$E$4),"Élevé - FE PA générique",IF(W50&lt;&gt;"","À vérifier","Moyen"))</x:f>
        <x:v>Élevé - FE PA générique</x:v>
      </x:c>
      <x:c r="U50" s="49" t="str">
        <x:v>Micrel/Breaking Stab</x:v>
      </x:c>
      <x:c r="V50" s="49" t="str">
        <x:v>EcovaMED v0.7 + hypothèses internes explicites</x:v>
      </x:c>
      <x:c r="W50" s="49" t="str">
        <x:v>Présentation prêt-à-l’emploi : le conditionnement primaire réel doit être remplacé par le poids fournisseur si disponible.</x:v>
      </x:c>
      <x:c r="X50" t="str">
        <x:f>IF(A50="","",IF(OR(ISNUMBER(SEARCH("poche",C50)),ISNUMBER(SEARCH("ampoule",C50)),ISNUMBER(SEARCH("plastique",C50))),"Prêt à être dilué / administré (hypothèse)","Reconstitution nécessaire (hypothèse)"))</x:f>
        <x:v>Prêt à être dilué / administré (hypothèse)</x:v>
      </x:c>
      <x:c r="Y50" t="str">
        <x:f>IF(A50="","",IF(ISNUMBER(SEARCH("Reconstitution",X50)),"Flacon/poudre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50" t="n">
        <x:f>IF(A50="","",IF(ISNUMBER(SEARCH("Reconstitution",X50)),1,0))</x:f>
        <x:v>0</x:v>
      </x:c>
      <x:c r="AA50" t="str">
        <x:f>IF(Z50&gt;0,"SERINGUE_PP_24ML","")</x:f>
      </x:c>
      <x:c r="AB50" s="48" t="n">
        <x:f>IF(Z50&gt;0,Z50*VLOOKUP(AA50,FACTEURS_ITEMS!$A$3:$J$30,4,FALSE),0)</x:f>
        <x:v>0</x:v>
      </x:c>
      <x:c r="AC50" t="n">
        <x:f>IF(A50="","",IF(ISNUMBER(SEARCH("Reconstitution",X50)),1,0))</x:f>
        <x:v>0</x:v>
      </x:c>
      <x:c r="AD50" t="str">
        <x:f>IF(AC50&gt;0,"AIGUILLE_RECONSTITUTION","")</x:f>
      </x:c>
      <x:c r="AE50" s="48" t="n">
        <x:f>IF(AC50&gt;0,AC50*VLOOKUP(AD50,FACTEURS_ITEMS!$A$3:$J$30,4,FALSE),0)</x:f>
        <x:v>0</x:v>
      </x:c>
      <x:c r="AF50" s="48" t="n">
        <x:f>IF(A50="","",AB50+AE50)</x:f>
        <x:v>0</x:v>
      </x:c>
      <x:c r="AG50" s="48" t="n">
        <x:f>IF(A50="","",S50+AF50)</x:f>
        <x:v>0.11269900000000001</x:v>
      </x:c>
      <x:c r="AH50" t="str">
        <x:f>IF(A50="","",IF(AF50&gt;0,"ACV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51">
      <x:c r="A51" s="49" t="str">
        <x:v>Ciprofloxacine</x:v>
      </x:c>
      <x:c r="B51" s="49" t="str">
        <x:v>Poche prêt-à-l’emploi 400 mg</x:v>
      </x:c>
      <x:c r="C51" s="49" t="str">
        <x:v>poche PEA</x:v>
      </x:c>
      <x:c r="D51" s="49" t="str">
        <x:v>Ciprofloxacine</x:v>
      </x:c>
      <x:c r="E51" s="49" t="n">
        <x:v>400</x:v>
      </x:c>
      <x:c r="F51" s="49" t="str"/>
      <x:c r="G51" s="49"/>
      <x:c r="H51" s="49" t="str"/>
      <x:c r="I51" s="49"/>
      <x:c r="J51" s="49" t="n">
        <x:f>IFERROR(SUM(E51,G51,I51)/1000,"")</x:f>
        <x:v>0.4</x:v>
      </x:c>
      <x:c r="K51" s="49" t="n">
        <x:f>$E$4</x:f>
        <x:v>100</x:v>
      </x:c>
      <x:c r="L51" s="49" t="n">
        <x:f>IF(J51="","",J51/1000*K51*(1+$E$5/100))</x:f>
        <x:v>0.042</x:v>
      </x:c>
      <x:c r="M51" s="49" t="n">
        <x:f>IF(J51="","",J51/1000*$E$6)</x:f>
        <x:v>0.000038</x:v>
      </x:c>
      <x:c r="N51" s="49" t="n">
        <x:f>IF(C51="ampoule verre",$E$12,IF(C51="poche PEA",$E$13,$E$11))</x:f>
        <x:v>20</x:v>
      </x:c>
      <x:c r="O51" s="49" t="n">
        <x:f>IF(C51="ampoule verre",$E$8,IF(C51="poche PEA",$E$9,$E$7))</x:f>
        <x:v>4.2</x:v>
      </x:c>
      <x:c r="P51" s="49" t="n">
        <x:f>N51/1000*O51*(1+$E$5/100)</x:f>
        <x:v>0.08820000000000001</x:v>
      </x:c>
      <x:c r="Q51" s="49" t="n">
        <x:f>$E$14</x:f>
        <x:v>3</x:v>
      </x:c>
      <x:c r="R51" s="49" t="n">
        <x:f>Q51/1000*$E$10</x:f>
        <x:v>0.00348</x:v>
      </x:c>
      <x:c r="S51" s="49" t="n">
        <x:f>IF(J51="","",SUM(L51:M51,P51,R51))</x:f>
        <x:v>0.13371800000000003</x:v>
      </x:c>
      <x:c r="T51" s="49" t="str">
        <x:f>IF(OR(J51="",K51=$E$4),"Élevé - FE PA générique",IF(W51&lt;&gt;"","À vérifier","Moyen"))</x:f>
        <x:v>Élevé - FE PA générique</x:v>
      </x:c>
      <x:c r="U51" s="49" t="str">
        <x:v>Micrel/Breaking Stab</x:v>
      </x:c>
      <x:c r="V51" s="49" t="str">
        <x:v>EcovaMED v0.7 + hypothèses internes explicites</x:v>
      </x:c>
      <x:c r="W51" s="49" t="str">
        <x:v>Présentation prêt-à-l’emploi : le conditionnement primaire réel doit être remplacé par le poids fournisseur si disponible.</x:v>
      </x:c>
      <x:c r="X51" t="str">
        <x:f>IF(A51="","",IF(OR(ISNUMBER(SEARCH("poche",C51)),ISNUMBER(SEARCH("ampoule",C51)),ISNUMBER(SEARCH("plastique",C51))),"Prêt à être dilué / administré (hypothèse)","Reconstitution nécessaire (hypothèse)"))</x:f>
        <x:v>Prêt à être dilué / administré (hypothèse)</x:v>
      </x:c>
      <x:c r="Y51" t="str">
        <x:f>IF(A51="","",IF(ISNUMBER(SEARCH("Reconstitution",X51)),"Flacon/poudre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51" t="n">
        <x:f>IF(A51="","",IF(ISNUMBER(SEARCH("Reconstitution",X51)),1,0))</x:f>
        <x:v>0</x:v>
      </x:c>
      <x:c r="AA51" t="str">
        <x:f>IF(Z51&gt;0,"SERINGUE_PP_24ML","")</x:f>
      </x:c>
      <x:c r="AB51" s="48" t="n">
        <x:f>IF(Z51&gt;0,Z51*VLOOKUP(AA51,FACTEURS_ITEMS!$A$3:$J$30,4,FALSE),0)</x:f>
        <x:v>0</x:v>
      </x:c>
      <x:c r="AC51" t="n">
        <x:f>IF(A51="","",IF(ISNUMBER(SEARCH("Reconstitution",X51)),1,0))</x:f>
        <x:v>0</x:v>
      </x:c>
      <x:c r="AD51" t="str">
        <x:f>IF(AC51&gt;0,"AIGUILLE_RECONSTITUTION","")</x:f>
      </x:c>
      <x:c r="AE51" s="48" t="n">
        <x:f>IF(AC51&gt;0,AC51*VLOOKUP(AD51,FACTEURS_ITEMS!$A$3:$J$30,4,FALSE),0)</x:f>
        <x:v>0</x:v>
      </x:c>
      <x:c r="AF51" s="48" t="n">
        <x:f>IF(A51="","",AB51+AE51)</x:f>
        <x:v>0</x:v>
      </x:c>
      <x:c r="AG51" s="48" t="n">
        <x:f>IF(A51="","",S51+AF51)</x:f>
        <x:v>0.13371800000000003</x:v>
      </x:c>
      <x:c r="AH51" t="str">
        <x:f>IF(A51="","",IF(AF51&gt;0,"ACV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52">
      <x:c r="A52" s="49" t="str">
        <x:v>Clindamycine</x:v>
      </x:c>
      <x:c r="B52" s="49" t="str">
        <x:v>Ampoule 600 mg</x:v>
      </x:c>
      <x:c r="C52" s="49" t="str">
        <x:v>ampoule verre</x:v>
      </x:c>
      <x:c r="D52" s="49" t="str">
        <x:v>Clindamycine</x:v>
      </x:c>
      <x:c r="E52" s="49" t="n">
        <x:v>600</x:v>
      </x:c>
      <x:c r="F52" s="49" t="str"/>
      <x:c r="G52" s="49"/>
      <x:c r="H52" s="49" t="str"/>
      <x:c r="I52" s="49"/>
      <x:c r="J52" s="49" t="n">
        <x:f>IFERROR(SUM(E52,G52,I52)/1000,"")</x:f>
        <x:v>0.6</x:v>
      </x:c>
      <x:c r="K52" s="49" t="n">
        <x:f>$E$4</x:f>
        <x:v>100</x:v>
      </x:c>
      <x:c r="L52" s="49" t="n">
        <x:f>IF(J52="","",J52/1000*K52*(1+$E$5/100))</x:f>
        <x:v>0.063</x:v>
      </x:c>
      <x:c r="M52" s="49" t="n">
        <x:f>IF(J52="","",J52/1000*$E$6)</x:f>
        <x:v>0.000056999999999999996</x:v>
      </x:c>
      <x:c r="N52" s="49" t="n">
        <x:f>IF(C52="ampoule verre",$E$12,IF(C52="poche PEA",$E$13,$E$11))</x:f>
        <x:v>5</x:v>
      </x:c>
      <x:c r="O52" s="49" t="n">
        <x:f>IF(C52="ampoule verre",$E$8,IF(C52="poche PEA",$E$9,$E$7))</x:f>
        <x:v>5</x:v>
      </x:c>
      <x:c r="P52" s="49" t="n">
        <x:f>N52/1000*O52*(1+$E$5/100)</x:f>
        <x:v>0.026250000000000002</x:v>
      </x:c>
      <x:c r="Q52" s="49" t="n">
        <x:f>$E$14</x:f>
        <x:v>3</x:v>
      </x:c>
      <x:c r="R52" s="49" t="n">
        <x:f>Q52/1000*$E$10</x:f>
        <x:v>0.00348</x:v>
      </x:c>
      <x:c r="S52" s="49" t="n">
        <x:f>IF(J52="","",SUM(L52:M52,P52,R52))</x:f>
        <x:v>0.092787</x:v>
      </x:c>
      <x:c r="T52" s="49" t="str">
        <x:f>IF(OR(J52="",K52=$E$4),"Élevé - FE PA générique",IF(W52&lt;&gt;"","À vérifier","Moyen"))</x:f>
        <x:v>Élevé - FE PA générique</x:v>
      </x:c>
      <x:c r="U52" s="49" t="str">
        <x:v>Breaking Stab</x:v>
      </x:c>
      <x:c r="V52" s="49" t="str">
        <x:v>EcovaMED v0.7 + hypothèses internes explicites</x:v>
      </x:c>
      <x:c r="W52" s="49" t="str"/>
      <x:c r="X52" t="str">
        <x:f>IF(A52="","",IF(OR(ISNUMBER(SEARCH("poche",C52)),ISNUMBER(SEARCH("ampoule",C52)),ISNUMBER(SEARCH("plastique",C52))),"Prêt à être dilué / administré (hypothèse)","Reconstitution nécessaire (hypothèse)"))</x:f>
        <x:v>Prêt à être dilué / administré (hypothèse)</x:v>
      </x:c>
      <x:c r="Y52" t="str">
        <x:f>IF(A52="","",IF(ISNUMBER(SEARCH("Reconstitution",X52)),"Flacon/poudre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52" t="n">
        <x:f>IF(A52="","",IF(ISNUMBER(SEARCH("Reconstitution",X52)),1,0))</x:f>
        <x:v>0</x:v>
      </x:c>
      <x:c r="AA52" t="str">
        <x:f>IF(Z52&gt;0,"SERINGUE_PP_24ML","")</x:f>
      </x:c>
      <x:c r="AB52" s="48" t="n">
        <x:f>IF(Z52&gt;0,Z52*VLOOKUP(AA52,FACTEURS_ITEMS!$A$3:$J$30,4,FALSE),0)</x:f>
        <x:v>0</x:v>
      </x:c>
      <x:c r="AC52" t="n">
        <x:f>IF(A52="","",IF(ISNUMBER(SEARCH("Reconstitution",X52)),1,0))</x:f>
        <x:v>0</x:v>
      </x:c>
      <x:c r="AD52" t="str">
        <x:f>IF(AC52&gt;0,"AIGUILLE_RECONSTITUTION","")</x:f>
      </x:c>
      <x:c r="AE52" s="48" t="n">
        <x:f>IF(AC52&gt;0,AC52*VLOOKUP(AD52,FACTEURS_ITEMS!$A$3:$J$30,4,FALSE),0)</x:f>
        <x:v>0</x:v>
      </x:c>
      <x:c r="AF52" s="48" t="n">
        <x:f>IF(A52="","",AB52+AE52)</x:f>
        <x:v>0</x:v>
      </x:c>
      <x:c r="AG52" s="48" t="n">
        <x:f>IF(A52="","",S52+AF52)</x:f>
        <x:v>0.092787</x:v>
      </x:c>
      <x:c r="AH52" t="str">
        <x:f>IF(A52="","",IF(AF52&gt;0,"ACV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53">
      <x:c r="A53" s="49" t="str">
        <x:v>Clindamycine</x:v>
      </x:c>
      <x:c r="B53" s="49" t="str">
        <x:v>Ampoule 900 mg</x:v>
      </x:c>
      <x:c r="C53" s="49" t="str">
        <x:v>ampoule verre</x:v>
      </x:c>
      <x:c r="D53" s="49" t="str">
        <x:v>Clindamycine</x:v>
      </x:c>
      <x:c r="E53" s="49" t="n">
        <x:v>900</x:v>
      </x:c>
      <x:c r="F53" s="49" t="str"/>
      <x:c r="G53" s="49"/>
      <x:c r="H53" s="49" t="str"/>
      <x:c r="I53" s="49"/>
      <x:c r="J53" s="49" t="n">
        <x:f>IFERROR(SUM(E53,G53,I53)/1000,"")</x:f>
        <x:v>0.9</x:v>
      </x:c>
      <x:c r="K53" s="49" t="n">
        <x:f>$E$4</x:f>
        <x:v>100</x:v>
      </x:c>
      <x:c r="L53" s="49" t="n">
        <x:f>IF(J53="","",J53/1000*K53*(1+$E$5/100))</x:f>
        <x:v>0.0945</x:v>
      </x:c>
      <x:c r="M53" s="49" t="n">
        <x:f>IF(J53="","",J53/1000*$E$6)</x:f>
        <x:v>0.0000855</x:v>
      </x:c>
      <x:c r="N53" s="49" t="n">
        <x:f>IF(C53="ampoule verre",$E$12,IF(C53="poche PEA",$E$13,$E$11))</x:f>
        <x:v>5</x:v>
      </x:c>
      <x:c r="O53" s="49" t="n">
        <x:f>IF(C53="ampoule verre",$E$8,IF(C53="poche PEA",$E$9,$E$7))</x:f>
        <x:v>5</x:v>
      </x:c>
      <x:c r="P53" s="49" t="n">
        <x:f>N53/1000*O53*(1+$E$5/100)</x:f>
        <x:v>0.026250000000000002</x:v>
      </x:c>
      <x:c r="Q53" s="49" t="n">
        <x:f>$E$14</x:f>
        <x:v>3</x:v>
      </x:c>
      <x:c r="R53" s="49" t="n">
        <x:f>Q53/1000*$E$10</x:f>
        <x:v>0.00348</x:v>
      </x:c>
      <x:c r="S53" s="49" t="n">
        <x:f>IF(J53="","",SUM(L53:M53,P53,R53))</x:f>
        <x:v>0.12431550000000001</x:v>
      </x:c>
      <x:c r="T53" s="49" t="str">
        <x:f>IF(OR(J53="",K53=$E$4),"Élevé - FE PA générique",IF(W53&lt;&gt;"","À vérifier","Moyen"))</x:f>
        <x:v>Élevé - FE PA générique</x:v>
      </x:c>
      <x:c r="U53" s="49" t="str">
        <x:v>Breaking Stab</x:v>
      </x:c>
      <x:c r="V53" s="49" t="str">
        <x:v>EcovaMED v0.7 + hypothèses internes explicites</x:v>
      </x:c>
      <x:c r="W53" s="49" t="str"/>
      <x:c r="X53" t="str">
        <x:f>IF(A53="","",IF(OR(ISNUMBER(SEARCH("poche",C53)),ISNUMBER(SEARCH("ampoule",C53)),ISNUMBER(SEARCH("plastique",C53))),"Prêt à être dilué / administré (hypothèse)","Reconstitution nécessaire (hypothèse)"))</x:f>
        <x:v>Prêt à être dilué / administré (hypothèse)</x:v>
      </x:c>
      <x:c r="Y53" t="str">
        <x:f>IF(A53="","",IF(ISNUMBER(SEARCH("Reconstitution",X53)),"Flacon/poudre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53" t="n">
        <x:f>IF(A53="","",IF(ISNUMBER(SEARCH("Reconstitution",X53)),1,0))</x:f>
        <x:v>0</x:v>
      </x:c>
      <x:c r="AA53" t="str">
        <x:f>IF(Z53&gt;0,"SERINGUE_PP_24ML","")</x:f>
      </x:c>
      <x:c r="AB53" s="48" t="n">
        <x:f>IF(Z53&gt;0,Z53*VLOOKUP(AA53,FACTEURS_ITEMS!$A$3:$J$30,4,FALSE),0)</x:f>
        <x:v>0</x:v>
      </x:c>
      <x:c r="AC53" t="n">
        <x:f>IF(A53="","",IF(ISNUMBER(SEARCH("Reconstitution",X53)),1,0))</x:f>
        <x:v>0</x:v>
      </x:c>
      <x:c r="AD53" t="str">
        <x:f>IF(AC53&gt;0,"AIGUILLE_RECONSTITUTION","")</x:f>
      </x:c>
      <x:c r="AE53" s="48" t="n">
        <x:f>IF(AC53&gt;0,AC53*VLOOKUP(AD53,FACTEURS_ITEMS!$A$3:$J$30,4,FALSE),0)</x:f>
        <x:v>0</x:v>
      </x:c>
      <x:c r="AF53" s="48" t="n">
        <x:f>IF(A53="","",AB53+AE53)</x:f>
        <x:v>0</x:v>
      </x:c>
      <x:c r="AG53" s="48" t="n">
        <x:f>IF(A53="","",S53+AF53)</x:f>
        <x:v>0.12431550000000001</x:v>
      </x:c>
      <x:c r="AH53" t="str">
        <x:f>IF(A53="","",IF(AF53&gt;0,"ACV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54">
      <x:c r="A54" s="49" t="str">
        <x:v>Colistine</x:v>
      </x:c>
      <x:c r="B54" s="49" t="str">
        <x:v>Flacon 1 MUI ≈ 80 mg CMS</x:v>
      </x:c>
      <x:c r="C54" s="49" t="str">
        <x:v>flacon verre</x:v>
      </x:c>
      <x:c r="D54" s="49" t="str">
        <x:v>Colistiméthate sodique</x:v>
      </x:c>
      <x:c r="E54" s="49" t="n">
        <x:v>80</x:v>
      </x:c>
      <x:c r="F54" s="49" t="str"/>
      <x:c r="G54" s="49"/>
      <x:c r="H54" s="49" t="str"/>
      <x:c r="I54" s="49"/>
      <x:c r="J54" s="49" t="n">
        <x:f>IFERROR(SUM(E54,G54,I54)/1000,"")</x:f>
        <x:v>0.08</x:v>
      </x:c>
      <x:c r="K54" s="49" t="n">
        <x:f>$E$4</x:f>
        <x:v>100</x:v>
      </x:c>
      <x:c r="L54" s="49" t="n">
        <x:f>IF(J54="","",J54/1000*K54*(1+$E$5/100))</x:f>
        <x:v>0.008400000000000001</x:v>
      </x:c>
      <x:c r="M54" s="49" t="n">
        <x:f>IF(J54="","",J54/1000*$E$6)</x:f>
        <x:v>0.000007600000000000001</x:v>
      </x:c>
      <x:c r="N54" s="49" t="n">
        <x:f>IF(C54="ampoule verre",$E$12,IF(C54="poche PEA",$E$13,$E$11))</x:f>
        <x:v>10</x:v>
      </x:c>
      <x:c r="O54" s="49" t="n">
        <x:f>IF(C54="ampoule verre",$E$8,IF(C54="poche PEA",$E$9,$E$7))</x:f>
        <x:v>7.1</x:v>
      </x:c>
      <x:c r="P54" s="49" t="n">
        <x:f>N54/1000*O54*(1+$E$5/100)</x:f>
        <x:v>0.07454999999999999</x:v>
      </x:c>
      <x:c r="Q54" s="49" t="n">
        <x:f>$E$14</x:f>
        <x:v>3</x:v>
      </x:c>
      <x:c r="R54" s="49" t="n">
        <x:f>Q54/1000*$E$10</x:f>
        <x:v>0.00348</x:v>
      </x:c>
      <x:c r="S54" s="49" t="n">
        <x:f>IF(J54="","",SUM(L54:M54,P54,R54))</x:f>
        <x:v>0.08643759999999999</x:v>
      </x:c>
      <x:c r="T54" s="49" t="str">
        <x:f>IF(OR(J54="",K54=$E$4),"Élevé - FE PA générique",IF(W54&lt;&gt;"","À vérifier","Moyen"))</x:f>
        <x:v>Élevé - FE PA générique</x:v>
      </x:c>
      <x:c r="U54" s="49" t="str">
        <x:v>Breaking Stab ; conversion MUI approximative</x:v>
      </x:c>
      <x:c r="V54" s="49" t="str">
        <x:v>EcovaMED v0.7 + hypothèses internes explicites</x:v>
      </x:c>
      <x:c r="W54" s="49" t="str">
        <x:v>Conversion MUI→mg utilisée pour ordre de grandeur ; à confirmer avec la présentation locale.</x:v>
      </x:c>
      <x:c r="X54" t="str">
        <x:f>IF(A54="","",IF(OR(ISNUMBER(SEARCH("poche",C54)),ISNUMBER(SEARCH("ampoule",C54)),ISNUMBER(SEARCH("plastique",C54))),"Prêt à être dilué / administré (hypothèse)","Reconstitution nécessaire (hypothèse)"))</x:f>
        <x:v>Reconstitution nécessaire (hypothèse)</x:v>
      </x:c>
      <x:c r="Y54" t="str">
        <x:f>IF(A54="","",IF(ISNUMBER(SEARCH("Reconstitution",X54)),"Flacon/poudre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54" t="n">
        <x:f>IF(A54="","",IF(ISNUMBER(SEARCH("Reconstitution",X54)),1,0))</x:f>
        <x:v>1</x:v>
      </x:c>
      <x:c r="AA54" t="str">
        <x:f>IF(Z54&gt;0,"SERINGUE_PP_24ML","")</x:f>
        <x:v>SERINGUE_PP_24ML</x:v>
      </x:c>
      <x:c r="AB54" s="48" t="n">
        <x:f>IF(Z54&gt;0,Z54*VLOOKUP(AA54,FACTEURS_ITEMS!$A$3:$J$30,4,FALSE),0)</x:f>
        <x:v>0.069</x:v>
      </x:c>
      <x:c r="AC54" t="n">
        <x:f>IF(A54="","",IF(ISNUMBER(SEARCH("Reconstitution",X54)),1,0))</x:f>
        <x:v>1</x:v>
      </x:c>
      <x:c r="AD54" t="str">
        <x:f>IF(AC54&gt;0,"AIGUILLE_RECONSTITUTION","")</x:f>
        <x:v>AIGUILLE_RECONSTITUTION</x:v>
      </x:c>
      <x:c r="AE54" s="48" t="n">
        <x:f>IF(AC54&gt;0,AC54*VLOOKUP(AD54,FACTEURS_ITEMS!$A$3:$J$30,4,FALSE),0)</x:f>
        <x:v>0.01</x:v>
      </x:c>
      <x:c r="AF54" s="48" t="n">
        <x:f>IF(A54="","",AB54+AE54)</x:f>
        <x:v>0.079</x:v>
      </x:c>
      <x:c r="AG54" s="48" t="n">
        <x:f>IF(A54="","",S54+AF54)</x:f>
        <x:v>0.1654376</x:v>
      </x:c>
      <x:c r="AH54" t="str">
        <x:f>IF(A54="","",IF(AF54&gt;0,"ACV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55">
      <x:c r="A55" s="49" t="str">
        <x:v>Colistine</x:v>
      </x:c>
      <x:c r="B55" s="49" t="str">
        <x:v>Flacon 2 MUI ≈ 160 mg CMS</x:v>
      </x:c>
      <x:c r="C55" s="49" t="str">
        <x:v>flacon verre</x:v>
      </x:c>
      <x:c r="D55" s="49" t="str">
        <x:v>Colistiméthate sodique</x:v>
      </x:c>
      <x:c r="E55" s="49" t="n">
        <x:v>160</x:v>
      </x:c>
      <x:c r="F55" s="49" t="str"/>
      <x:c r="G55" s="49"/>
      <x:c r="H55" s="49" t="str"/>
      <x:c r="I55" s="49"/>
      <x:c r="J55" s="49" t="n">
        <x:f>IFERROR(SUM(E55,G55,I55)/1000,"")</x:f>
        <x:v>0.16</x:v>
      </x:c>
      <x:c r="K55" s="49" t="n">
        <x:f>$E$4</x:f>
        <x:v>100</x:v>
      </x:c>
      <x:c r="L55" s="49" t="n">
        <x:f>IF(J55="","",J55/1000*K55*(1+$E$5/100))</x:f>
        <x:v>0.016800000000000002</x:v>
      </x:c>
      <x:c r="M55" s="49" t="n">
        <x:f>IF(J55="","",J55/1000*$E$6)</x:f>
        <x:v>0.000015200000000000002</x:v>
      </x:c>
      <x:c r="N55" s="49" t="n">
        <x:f>IF(C55="ampoule verre",$E$12,IF(C55="poche PEA",$E$13,$E$11))</x:f>
        <x:v>10</x:v>
      </x:c>
      <x:c r="O55" s="49" t="n">
        <x:f>IF(C55="ampoule verre",$E$8,IF(C55="poche PEA",$E$9,$E$7))</x:f>
        <x:v>7.1</x:v>
      </x:c>
      <x:c r="P55" s="49" t="n">
        <x:f>N55/1000*O55*(1+$E$5/100)</x:f>
        <x:v>0.07454999999999999</x:v>
      </x:c>
      <x:c r="Q55" s="49" t="n">
        <x:f>$E$14</x:f>
        <x:v>3</x:v>
      </x:c>
      <x:c r="R55" s="49" t="n">
        <x:f>Q55/1000*$E$10</x:f>
        <x:v>0.00348</x:v>
      </x:c>
      <x:c r="S55" s="49" t="n">
        <x:f>IF(J55="","",SUM(L55:M55,P55,R55))</x:f>
        <x:v>0.09484519999999999</x:v>
      </x:c>
      <x:c r="T55" s="49" t="str">
        <x:f>IF(OR(J55="",K55=$E$4),"Élevé - FE PA générique",IF(W55&lt;&gt;"","À vérifier","Moyen"))</x:f>
        <x:v>Élevé - FE PA générique</x:v>
      </x:c>
      <x:c r="U55" s="49" t="str">
        <x:v>Breaking Stab ; conversion MUI approximative</x:v>
      </x:c>
      <x:c r="V55" s="49" t="str">
        <x:v>EcovaMED v0.7 + hypothèses internes explicites</x:v>
      </x:c>
      <x:c r="W55" s="49" t="str">
        <x:v>Conversion MUI→mg utilisée pour ordre de grandeur ; à confirmer avec la présentation locale.</x:v>
      </x:c>
      <x:c r="X55" t="str">
        <x:f>IF(A55="","",IF(OR(ISNUMBER(SEARCH("poche",C55)),ISNUMBER(SEARCH("ampoule",C55)),ISNUMBER(SEARCH("plastique",C55))),"Prêt à être dilué / administré (hypothèse)","Reconstitution nécessaire (hypothèse)"))</x:f>
        <x:v>Reconstitution nécessaire (hypothèse)</x:v>
      </x:c>
      <x:c r="Y55" t="str">
        <x:f>IF(A55="","",IF(ISNUMBER(SEARCH("Reconstitution",X55)),"Flacon/poudre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55" t="n">
        <x:f>IF(A55="","",IF(ISNUMBER(SEARCH("Reconstitution",X55)),1,0))</x:f>
        <x:v>1</x:v>
      </x:c>
      <x:c r="AA55" t="str">
        <x:f>IF(Z55&gt;0,"SERINGUE_PP_24ML","")</x:f>
        <x:v>SERINGUE_PP_24ML</x:v>
      </x:c>
      <x:c r="AB55" s="48" t="n">
        <x:f>IF(Z55&gt;0,Z55*VLOOKUP(AA55,FACTEURS_ITEMS!$A$3:$J$30,4,FALSE),0)</x:f>
        <x:v>0.069</x:v>
      </x:c>
      <x:c r="AC55" t="n">
        <x:f>IF(A55="","",IF(ISNUMBER(SEARCH("Reconstitution",X55)),1,0))</x:f>
        <x:v>1</x:v>
      </x:c>
      <x:c r="AD55" t="str">
        <x:f>IF(AC55&gt;0,"AIGUILLE_RECONSTITUTION","")</x:f>
        <x:v>AIGUILLE_RECONSTITUTION</x:v>
      </x:c>
      <x:c r="AE55" s="48" t="n">
        <x:f>IF(AC55&gt;0,AC55*VLOOKUP(AD55,FACTEURS_ITEMS!$A$3:$J$30,4,FALSE),0)</x:f>
        <x:v>0.01</x:v>
      </x:c>
      <x:c r="AF55" s="48" t="n">
        <x:f>IF(A55="","",AB55+AE55)</x:f>
        <x:v>0.079</x:v>
      </x:c>
      <x:c r="AG55" s="48" t="n">
        <x:f>IF(A55="","",S55+AF55)</x:f>
        <x:v>0.17384519999999998</x:v>
      </x:c>
      <x:c r="AH55" t="str">
        <x:f>IF(A55="","",IF(AF55&gt;0,"ACV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56">
      <x:c r="A56" s="49" t="str">
        <x:v>Colistine</x:v>
      </x:c>
      <x:c r="B56" s="49" t="str">
        <x:v>Flacon 4,5 MUI ≈ 360 mg CMS</x:v>
      </x:c>
      <x:c r="C56" s="49" t="str">
        <x:v>flacon verre</x:v>
      </x:c>
      <x:c r="D56" s="49" t="str">
        <x:v>Colistiméthate sodique</x:v>
      </x:c>
      <x:c r="E56" s="49" t="n">
        <x:v>360</x:v>
      </x:c>
      <x:c r="F56" s="49" t="str"/>
      <x:c r="G56" s="49"/>
      <x:c r="H56" s="49" t="str"/>
      <x:c r="I56" s="49"/>
      <x:c r="J56" s="49" t="n">
        <x:f>IFERROR(SUM(E56,G56,I56)/1000,"")</x:f>
        <x:v>0.36</x:v>
      </x:c>
      <x:c r="K56" s="49" t="n">
        <x:f>$E$4</x:f>
        <x:v>100</x:v>
      </x:c>
      <x:c r="L56" s="49" t="n">
        <x:f>IF(J56="","",J56/1000*K56*(1+$E$5/100))</x:f>
        <x:v>0.0378</x:v>
      </x:c>
      <x:c r="M56" s="49" t="n">
        <x:f>IF(J56="","",J56/1000*$E$6)</x:f>
        <x:v>0.0000342</x:v>
      </x:c>
      <x:c r="N56" s="49" t="n">
        <x:f>IF(C56="ampoule verre",$E$12,IF(C56="poche PEA",$E$13,$E$11))</x:f>
        <x:v>10</x:v>
      </x:c>
      <x:c r="O56" s="49" t="n">
        <x:f>IF(C56="ampoule verre",$E$8,IF(C56="poche PEA",$E$9,$E$7))</x:f>
        <x:v>7.1</x:v>
      </x:c>
      <x:c r="P56" s="49" t="n">
        <x:f>N56/1000*O56*(1+$E$5/100)</x:f>
        <x:v>0.07454999999999999</x:v>
      </x:c>
      <x:c r="Q56" s="49" t="n">
        <x:f>$E$14</x:f>
        <x:v>3</x:v>
      </x:c>
      <x:c r="R56" s="49" t="n">
        <x:f>Q56/1000*$E$10</x:f>
        <x:v>0.00348</x:v>
      </x:c>
      <x:c r="S56" s="49" t="n">
        <x:f>IF(J56="","",SUM(L56:M56,P56,R56))</x:f>
        <x:v>0.11586419999999999</x:v>
      </x:c>
      <x:c r="T56" s="49" t="str">
        <x:f>IF(OR(J56="",K56=$E$4),"Élevé - FE PA générique",IF(W56&lt;&gt;"","À vérifier","Moyen"))</x:f>
        <x:v>Élevé - FE PA générique</x:v>
      </x:c>
      <x:c r="U56" s="49" t="str">
        <x:v>Breaking Stab ; conversion MUI approximative</x:v>
      </x:c>
      <x:c r="V56" s="49" t="str">
        <x:v>EcovaMED v0.7 + hypothèses internes explicites</x:v>
      </x:c>
      <x:c r="W56" s="49" t="str">
        <x:v>Conversion MUI→mg utilisée pour ordre de grandeur ; à confirmer avec la présentation locale.</x:v>
      </x:c>
      <x:c r="X56" t="str">
        <x:f>IF(A56="","",IF(OR(ISNUMBER(SEARCH("poche",C56)),ISNUMBER(SEARCH("ampoule",C56)),ISNUMBER(SEARCH("plastique",C56))),"Prêt à être dilué / administré (hypothèse)","Reconstitution nécessaire (hypothèse)"))</x:f>
        <x:v>Reconstitution nécessaire (hypothèse)</x:v>
      </x:c>
      <x:c r="Y56" t="str">
        <x:f>IF(A56="","",IF(ISNUMBER(SEARCH("Reconstitution",X56)),"Flacon/poudre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56" t="n">
        <x:f>IF(A56="","",IF(ISNUMBER(SEARCH("Reconstitution",X56)),1,0))</x:f>
        <x:v>1</x:v>
      </x:c>
      <x:c r="AA56" t="str">
        <x:f>IF(Z56&gt;0,"SERINGUE_PP_24ML","")</x:f>
        <x:v>SERINGUE_PP_24ML</x:v>
      </x:c>
      <x:c r="AB56" s="48" t="n">
        <x:f>IF(Z56&gt;0,Z56*VLOOKUP(AA56,FACTEURS_ITEMS!$A$3:$J$30,4,FALSE),0)</x:f>
        <x:v>0.069</x:v>
      </x:c>
      <x:c r="AC56" t="n">
        <x:f>IF(A56="","",IF(ISNUMBER(SEARCH("Reconstitution",X56)),1,0))</x:f>
        <x:v>1</x:v>
      </x:c>
      <x:c r="AD56" t="str">
        <x:f>IF(AC56&gt;0,"AIGUILLE_RECONSTITUTION","")</x:f>
        <x:v>AIGUILLE_RECONSTITUTION</x:v>
      </x:c>
      <x:c r="AE56" s="48" t="n">
        <x:f>IF(AC56&gt;0,AC56*VLOOKUP(AD56,FACTEURS_ITEMS!$A$3:$J$30,4,FALSE),0)</x:f>
        <x:v>0.01</x:v>
      </x:c>
      <x:c r="AF56" s="48" t="n">
        <x:f>IF(A56="","",AB56+AE56)</x:f>
        <x:v>0.079</x:v>
      </x:c>
      <x:c r="AG56" s="48" t="n">
        <x:f>IF(A56="","",S56+AF56)</x:f>
        <x:v>0.1948642</x:v>
      </x:c>
      <x:c r="AH56" t="str">
        <x:f>IF(A56="","",IF(AF56&gt;0,"ACV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57">
      <x:c r="A57" s="49" t="str">
        <x:v>Cotrimoxazole IV / Bactrim®</x:v>
      </x:c>
      <x:c r="B57" s="49" t="str">
        <x:v>Ampoule 400/80 mg</x:v>
      </x:c>
      <x:c r="C57" s="49" t="str">
        <x:v>ampoule verre</x:v>
      </x:c>
      <x:c r="D57" s="49" t="str">
        <x:v>Sulfaméthoxazole</x:v>
      </x:c>
      <x:c r="E57" s="49" t="n">
        <x:v>400</x:v>
      </x:c>
      <x:c r="F57" s="49" t="str">
        <x:v>Triméthoprime</x:v>
      </x:c>
      <x:c r="G57" s="49" t="n">
        <x:v>80</x:v>
      </x:c>
      <x:c r="H57" s="49" t="str"/>
      <x:c r="I57" s="49"/>
      <x:c r="J57" s="49" t="n">
        <x:f>IFERROR(SUM(E57,G57,I57)/1000,"")</x:f>
        <x:v>0.48</x:v>
      </x:c>
      <x:c r="K57" s="49" t="n">
        <x:f>$E$4</x:f>
        <x:v>100</x:v>
      </x:c>
      <x:c r="L57" s="49" t="n">
        <x:f>IF(J57="","",J57/1000*K57*(1+$E$5/100))</x:f>
        <x:v>0.05039999999999999</x:v>
      </x:c>
      <x:c r="M57" s="49" t="n">
        <x:f>IF(J57="","",J57/1000*$E$6)</x:f>
        <x:v>0.0000456</x:v>
      </x:c>
      <x:c r="N57" s="49" t="n">
        <x:f>IF(C57="ampoule verre",$E$12,IF(C57="poche PEA",$E$13,$E$11))</x:f>
        <x:v>5</x:v>
      </x:c>
      <x:c r="O57" s="49" t="n">
        <x:f>IF(C57="ampoule verre",$E$8,IF(C57="poche PEA",$E$9,$E$7))</x:f>
        <x:v>5</x:v>
      </x:c>
      <x:c r="P57" s="49" t="n">
        <x:f>N57/1000*O57*(1+$E$5/100)</x:f>
        <x:v>0.026250000000000002</x:v>
      </x:c>
      <x:c r="Q57" s="49" t="n">
        <x:f>$E$14</x:f>
        <x:v>3</x:v>
      </x:c>
      <x:c r="R57" s="49" t="n">
        <x:f>Q57/1000*$E$10</x:f>
        <x:v>0.00348</x:v>
      </x:c>
      <x:c r="S57" s="49" t="n">
        <x:f>IF(J57="","",SUM(L57:M57,P57,R57))</x:f>
        <x:v>0.0801756</x:v>
      </x:c>
      <x:c r="T57" s="49" t="str">
        <x:f>IF(OR(J57="",K57=$E$4),"Élevé - FE PA générique",IF(W57&lt;&gt;"","À vérifier","Moyen"))</x:f>
        <x:v>Élevé - FE PA générique</x:v>
      </x:c>
      <x:c r="U57" s="49" t="str">
        <x:v>Breaking Stab</x:v>
      </x:c>
      <x:c r="V57" s="49" t="str">
        <x:v>EcovaMED v0.7 + hypothèses internes explicites</x:v>
      </x:c>
      <x:c r="W57" s="49" t="str"/>
      <x:c r="X57" t="str">
        <x:f>IF(A57="","",IF(OR(ISNUMBER(SEARCH("poche",C57)),ISNUMBER(SEARCH("ampoule",C57)),ISNUMBER(SEARCH("plastique",C57))),"Prêt à être dilué / administré (hypothèse)","Reconstitution nécessaire (hypothèse)"))</x:f>
        <x:v>Prêt à être dilué / administré (hypothèse)</x:v>
      </x:c>
      <x:c r="Y57" t="str">
        <x:f>IF(A57="","",IF(ISNUMBER(SEARCH("Reconstitution",X57)),"Flacon/poudre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57" t="n">
        <x:f>IF(A57="","",IF(ISNUMBER(SEARCH("Reconstitution",X57)),1,0))</x:f>
        <x:v>0</x:v>
      </x:c>
      <x:c r="AA57" t="str">
        <x:f>IF(Z57&gt;0,"SERINGUE_PP_24ML","")</x:f>
      </x:c>
      <x:c r="AB57" s="48" t="n">
        <x:f>IF(Z57&gt;0,Z57*VLOOKUP(AA57,FACTEURS_ITEMS!$A$3:$J$30,4,FALSE),0)</x:f>
        <x:v>0</x:v>
      </x:c>
      <x:c r="AC57" t="n">
        <x:f>IF(A57="","",IF(ISNUMBER(SEARCH("Reconstitution",X57)),1,0))</x:f>
        <x:v>0</x:v>
      </x:c>
      <x:c r="AD57" t="str">
        <x:f>IF(AC57&gt;0,"AIGUILLE_RECONSTITUTION","")</x:f>
      </x:c>
      <x:c r="AE57" s="48" t="n">
        <x:f>IF(AC57&gt;0,AC57*VLOOKUP(AD57,FACTEURS_ITEMS!$A$3:$J$30,4,FALSE),0)</x:f>
        <x:v>0</x:v>
      </x:c>
      <x:c r="AF57" s="48" t="n">
        <x:f>IF(A57="","",AB57+AE57)</x:f>
        <x:v>0</x:v>
      </x:c>
      <x:c r="AG57" s="48" t="n">
        <x:f>IF(A57="","",S57+AF57)</x:f>
        <x:v>0.0801756</x:v>
      </x:c>
      <x:c r="AH57" t="str">
        <x:f>IF(A57="","",IF(AF57&gt;0,"ACV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58">
      <x:c r="A58" s="49" t="str">
        <x:v>Dalbavancine</x:v>
      </x:c>
      <x:c r="B58" s="49" t="str">
        <x:v>Flacon 500 mg</x:v>
      </x:c>
      <x:c r="C58" s="49" t="str">
        <x:v>flacon verre</x:v>
      </x:c>
      <x:c r="D58" s="49" t="str">
        <x:v>Dalbavancine</x:v>
      </x:c>
      <x:c r="E58" s="49" t="n">
        <x:v>500</x:v>
      </x:c>
      <x:c r="F58" s="49" t="str"/>
      <x:c r="G58" s="49"/>
      <x:c r="H58" s="49" t="str"/>
      <x:c r="I58" s="49"/>
      <x:c r="J58" s="49" t="n">
        <x:f>IFERROR(SUM(E58,G58,I58)/1000,"")</x:f>
        <x:v>0.5</x:v>
      </x:c>
      <x:c r="K58" s="49" t="n">
        <x:f>$E$4</x:f>
        <x:v>100</x:v>
      </x:c>
      <x:c r="L58" s="49" t="n">
        <x:f>IF(J58="","",J58/1000*K58*(1+$E$5/100))</x:f>
        <x:v>0.052500000000000005</x:v>
      </x:c>
      <x:c r="M58" s="49" t="n">
        <x:f>IF(J58="","",J58/1000*$E$6)</x:f>
        <x:v>0.0000475</x:v>
      </x:c>
      <x:c r="N58" s="49" t="n">
        <x:f>IF(C58="ampoule verre",$E$12,IF(C58="poche PEA",$E$13,$E$11))</x:f>
        <x:v>10</x:v>
      </x:c>
      <x:c r="O58" s="49" t="n">
        <x:f>IF(C58="ampoule verre",$E$8,IF(C58="poche PEA",$E$9,$E$7))</x:f>
        <x:v>7.1</x:v>
      </x:c>
      <x:c r="P58" s="49" t="n">
        <x:f>N58/1000*O58*(1+$E$5/100)</x:f>
        <x:v>0.07454999999999999</x:v>
      </x:c>
      <x:c r="Q58" s="49" t="n">
        <x:f>$E$14</x:f>
        <x:v>3</x:v>
      </x:c>
      <x:c r="R58" s="49" t="n">
        <x:f>Q58/1000*$E$10</x:f>
        <x:v>0.00348</x:v>
      </x:c>
      <x:c r="S58" s="49" t="n">
        <x:f>IF(J58="","",SUM(L58:M58,P58,R58))</x:f>
        <x:v>0.1305775</x:v>
      </x:c>
      <x:c r="T58" s="49" t="str">
        <x:f>IF(OR(J58="",K58=$E$4),"Élevé - FE PA générique",IF(W58&lt;&gt;"","À vérifier","Moyen"))</x:f>
        <x:v>Élevé - FE PA générique</x:v>
      </x:c>
      <x:c r="U58" s="49" t="str">
        <x:v>Breaking Stab</x:v>
      </x:c>
      <x:c r="V58" s="49" t="str">
        <x:v>EcovaMED v0.7 + hypothèses internes explicites</x:v>
      </x:c>
      <x:c r="W58" s="49" t="str"/>
      <x:c r="X58" t="str">
        <x:f>IF(A58="","",IF(OR(ISNUMBER(SEARCH("poche",C58)),ISNUMBER(SEARCH("ampoule",C58)),ISNUMBER(SEARCH("plastique",C58))),"Prêt à être dilué / administré (hypothèse)","Reconstitution nécessaire (hypothèse)"))</x:f>
        <x:v>Reconstitution nécessaire (hypothèse)</x:v>
      </x:c>
      <x:c r="Y58" t="str">
        <x:f>IF(A58="","",IF(ISNUMBER(SEARCH("Reconstitution",X58)),"Flacon/poudre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58" t="n">
        <x:f>IF(A58="","",IF(ISNUMBER(SEARCH("Reconstitution",X58)),1,0))</x:f>
        <x:v>1</x:v>
      </x:c>
      <x:c r="AA58" t="str">
        <x:f>IF(Z58&gt;0,"SERINGUE_PP_24ML","")</x:f>
        <x:v>SERINGUE_PP_24ML</x:v>
      </x:c>
      <x:c r="AB58" s="48" t="n">
        <x:f>IF(Z58&gt;0,Z58*VLOOKUP(AA58,FACTEURS_ITEMS!$A$3:$J$30,4,FALSE),0)</x:f>
        <x:v>0.069</x:v>
      </x:c>
      <x:c r="AC58" t="n">
        <x:f>IF(A58="","",IF(ISNUMBER(SEARCH("Reconstitution",X58)),1,0))</x:f>
        <x:v>1</x:v>
      </x:c>
      <x:c r="AD58" t="str">
        <x:f>IF(AC58&gt;0,"AIGUILLE_RECONSTITUTION","")</x:f>
        <x:v>AIGUILLE_RECONSTITUTION</x:v>
      </x:c>
      <x:c r="AE58" s="48" t="n">
        <x:f>IF(AC58&gt;0,AC58*VLOOKUP(AD58,FACTEURS_ITEMS!$A$3:$J$30,4,FALSE),0)</x:f>
        <x:v>0.01</x:v>
      </x:c>
      <x:c r="AF58" s="48" t="n">
        <x:f>IF(A58="","",AB58+AE58)</x:f>
        <x:v>0.079</x:v>
      </x:c>
      <x:c r="AG58" s="48" t="n">
        <x:f>IF(A58="","",S58+AF58)</x:f>
        <x:v>0.20957750000000003</x:v>
      </x:c>
      <x:c r="AH58" t="str">
        <x:f>IF(A58="","",IF(AF58&gt;0,"ACV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59">
      <x:c r="A59" s="49" t="str">
        <x:v>Daptomycine</x:v>
      </x:c>
      <x:c r="B59" s="49" t="str">
        <x:v>Flacon 350 mg</x:v>
      </x:c>
      <x:c r="C59" s="49" t="str">
        <x:v>flacon verre</x:v>
      </x:c>
      <x:c r="D59" s="49" t="str">
        <x:v>Daptomycine</x:v>
      </x:c>
      <x:c r="E59" s="49" t="n">
        <x:v>350</x:v>
      </x:c>
      <x:c r="F59" s="49" t="str"/>
      <x:c r="G59" s="49"/>
      <x:c r="H59" s="49" t="str"/>
      <x:c r="I59" s="49"/>
      <x:c r="J59" s="49" t="n">
        <x:f>IFERROR(SUM(E59,G59,I59)/1000,"")</x:f>
        <x:v>0.35</x:v>
      </x:c>
      <x:c r="K59" s="49" t="n">
        <x:f>$E$4</x:f>
        <x:v>100</x:v>
      </x:c>
      <x:c r="L59" s="49" t="n">
        <x:f>IF(J59="","",J59/1000*K59*(1+$E$5/100))</x:f>
        <x:v>0.03675</x:v>
      </x:c>
      <x:c r="M59" s="49" t="n">
        <x:f>IF(J59="","",J59/1000*$E$6)</x:f>
        <x:v>0.00003325</x:v>
      </x:c>
      <x:c r="N59" s="49" t="n">
        <x:f>IF(C59="ampoule verre",$E$12,IF(C59="poche PEA",$E$13,$E$11))</x:f>
        <x:v>10</x:v>
      </x:c>
      <x:c r="O59" s="49" t="n">
        <x:f>IF(C59="ampoule verre",$E$8,IF(C59="poche PEA",$E$9,$E$7))</x:f>
        <x:v>7.1</x:v>
      </x:c>
      <x:c r="P59" s="49" t="n">
        <x:f>N59/1000*O59*(1+$E$5/100)</x:f>
        <x:v>0.07454999999999999</x:v>
      </x:c>
      <x:c r="Q59" s="49" t="n">
        <x:f>$E$14</x:f>
        <x:v>3</x:v>
      </x:c>
      <x:c r="R59" s="49" t="n">
        <x:f>Q59/1000*$E$10</x:f>
        <x:v>0.00348</x:v>
      </x:c>
      <x:c r="S59" s="49" t="n">
        <x:f>IF(J59="","",SUM(L59:M59,P59,R59))</x:f>
        <x:v>0.11481324999999999</x:v>
      </x:c>
      <x:c r="T59" s="49" t="str">
        <x:f>IF(OR(J59="",K59=$E$4),"Élevé - FE PA générique",IF(W59&lt;&gt;"","À vérifier","Moyen"))</x:f>
        <x:v>Élevé - FE PA générique</x:v>
      </x:c>
      <x:c r="U59" s="49" t="str">
        <x:v>Breaking Stab</x:v>
      </x:c>
      <x:c r="V59" s="49" t="str">
        <x:v>EcovaMED v0.7 + hypothèses internes explicites</x:v>
      </x:c>
      <x:c r="W59" s="49" t="str"/>
      <x:c r="X59" t="str">
        <x:f>IF(A59="","",IF(OR(ISNUMBER(SEARCH("poche",C59)),ISNUMBER(SEARCH("ampoule",C59)),ISNUMBER(SEARCH("plastique",C59))),"Prêt à être dilué / administré (hypothèse)","Reconstitution nécessaire (hypothèse)"))</x:f>
        <x:v>Reconstitution nécessaire (hypothèse)</x:v>
      </x:c>
      <x:c r="Y59" t="str">
        <x:f>IF(A59="","",IF(ISNUMBER(SEARCH("Reconstitution",X59)),"Flacon/poudre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59" t="n">
        <x:f>IF(A59="","",IF(ISNUMBER(SEARCH("Reconstitution",X59)),1,0))</x:f>
        <x:v>1</x:v>
      </x:c>
      <x:c r="AA59" t="str">
        <x:f>IF(Z59&gt;0,"SERINGUE_PP_24ML","")</x:f>
        <x:v>SERINGUE_PP_24ML</x:v>
      </x:c>
      <x:c r="AB59" s="48" t="n">
        <x:f>IF(Z59&gt;0,Z59*VLOOKUP(AA59,FACTEURS_ITEMS!$A$3:$J$30,4,FALSE),0)</x:f>
        <x:v>0.069</x:v>
      </x:c>
      <x:c r="AC59" t="n">
        <x:f>IF(A59="","",IF(ISNUMBER(SEARCH("Reconstitution",X59)),1,0))</x:f>
        <x:v>1</x:v>
      </x:c>
      <x:c r="AD59" t="str">
        <x:f>IF(AC59&gt;0,"AIGUILLE_RECONSTITUTION","")</x:f>
        <x:v>AIGUILLE_RECONSTITUTION</x:v>
      </x:c>
      <x:c r="AE59" s="48" t="n">
        <x:f>IF(AC59&gt;0,AC59*VLOOKUP(AD59,FACTEURS_ITEMS!$A$3:$J$30,4,FALSE),0)</x:f>
        <x:v>0.01</x:v>
      </x:c>
      <x:c r="AF59" s="48" t="n">
        <x:f>IF(A59="","",AB59+AE59)</x:f>
        <x:v>0.079</x:v>
      </x:c>
      <x:c r="AG59" s="48" t="n">
        <x:f>IF(A59="","",S59+AF59)</x:f>
        <x:v>0.19381325</x:v>
      </x:c>
      <x:c r="AH59" t="str">
        <x:f>IF(A59="","",IF(AF59&gt;0,"ACV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60">
      <x:c r="A60" s="49" t="str">
        <x:v>Daptomycine</x:v>
      </x:c>
      <x:c r="B60" s="49" t="str">
        <x:v>Flacon 500 mg</x:v>
      </x:c>
      <x:c r="C60" s="49" t="str">
        <x:v>flacon verre</x:v>
      </x:c>
      <x:c r="D60" s="49" t="str">
        <x:v>Daptomycine</x:v>
      </x:c>
      <x:c r="E60" s="49" t="n">
        <x:v>500</x:v>
      </x:c>
      <x:c r="F60" s="49" t="str"/>
      <x:c r="G60" s="49"/>
      <x:c r="H60" s="49" t="str"/>
      <x:c r="I60" s="49"/>
      <x:c r="J60" s="49" t="n">
        <x:f>IFERROR(SUM(E60,G60,I60)/1000,"")</x:f>
        <x:v>0.5</x:v>
      </x:c>
      <x:c r="K60" s="49" t="n">
        <x:f>$E$4</x:f>
        <x:v>100</x:v>
      </x:c>
      <x:c r="L60" s="49" t="n">
        <x:f>IF(J60="","",J60/1000*K60*(1+$E$5/100))</x:f>
        <x:v>0.052500000000000005</x:v>
      </x:c>
      <x:c r="M60" s="49" t="n">
        <x:f>IF(J60="","",J60/1000*$E$6)</x:f>
        <x:v>0.0000475</x:v>
      </x:c>
      <x:c r="N60" s="49" t="n">
        <x:f>IF(C60="ampoule verre",$E$12,IF(C60="poche PEA",$E$13,$E$11))</x:f>
        <x:v>10</x:v>
      </x:c>
      <x:c r="O60" s="49" t="n">
        <x:f>IF(C60="ampoule verre",$E$8,IF(C60="poche PEA",$E$9,$E$7))</x:f>
        <x:v>7.1</x:v>
      </x:c>
      <x:c r="P60" s="49" t="n">
        <x:f>N60/1000*O60*(1+$E$5/100)</x:f>
        <x:v>0.07454999999999999</x:v>
      </x:c>
      <x:c r="Q60" s="49" t="n">
        <x:f>$E$14</x:f>
        <x:v>3</x:v>
      </x:c>
      <x:c r="R60" s="49" t="n">
        <x:f>Q60/1000*$E$10</x:f>
        <x:v>0.00348</x:v>
      </x:c>
      <x:c r="S60" s="49" t="n">
        <x:f>IF(J60="","",SUM(L60:M60,P60,R60))</x:f>
        <x:v>0.1305775</x:v>
      </x:c>
      <x:c r="T60" s="49" t="str">
        <x:f>IF(OR(J60="",K60=$E$4),"Élevé - FE PA générique",IF(W60&lt;&gt;"","À vérifier","Moyen"))</x:f>
        <x:v>Élevé - FE PA générique</x:v>
      </x:c>
      <x:c r="U60" s="49" t="str">
        <x:v>Breaking Stab</x:v>
      </x:c>
      <x:c r="V60" s="49" t="str">
        <x:v>EcovaMED v0.7 + hypothèses internes explicites</x:v>
      </x:c>
      <x:c r="W60" s="49" t="str"/>
      <x:c r="X60" t="str">
        <x:f>IF(A60="","",IF(OR(ISNUMBER(SEARCH("poche",C60)),ISNUMBER(SEARCH("ampoule",C60)),ISNUMBER(SEARCH("plastique",C60))),"Prêt à être dilué / administré (hypothèse)","Reconstitution nécessaire (hypothèse)"))</x:f>
        <x:v>Reconstitution nécessaire (hypothèse)</x:v>
      </x:c>
      <x:c r="Y60" t="str">
        <x:f>IF(A60="","",IF(ISNUMBER(SEARCH("Reconstitution",X60)),"Flacon/poudre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60" t="n">
        <x:f>IF(A60="","",IF(ISNUMBER(SEARCH("Reconstitution",X60)),1,0))</x:f>
        <x:v>1</x:v>
      </x:c>
      <x:c r="AA60" t="str">
        <x:f>IF(Z60&gt;0,"SERINGUE_PP_24ML","")</x:f>
        <x:v>SERINGUE_PP_24ML</x:v>
      </x:c>
      <x:c r="AB60" s="48" t="n">
        <x:f>IF(Z60&gt;0,Z60*VLOOKUP(AA60,FACTEURS_ITEMS!$A$3:$J$30,4,FALSE),0)</x:f>
        <x:v>0.069</x:v>
      </x:c>
      <x:c r="AC60" t="n">
        <x:f>IF(A60="","",IF(ISNUMBER(SEARCH("Reconstitution",X60)),1,0))</x:f>
        <x:v>1</x:v>
      </x:c>
      <x:c r="AD60" t="str">
        <x:f>IF(AC60&gt;0,"AIGUILLE_RECONSTITUTION","")</x:f>
        <x:v>AIGUILLE_RECONSTITUTION</x:v>
      </x:c>
      <x:c r="AE60" s="48" t="n">
        <x:f>IF(AC60&gt;0,AC60*VLOOKUP(AD60,FACTEURS_ITEMS!$A$3:$J$30,4,FALSE),0)</x:f>
        <x:v>0.01</x:v>
      </x:c>
      <x:c r="AF60" s="48" t="n">
        <x:f>IF(A60="","",AB60+AE60)</x:f>
        <x:v>0.079</x:v>
      </x:c>
      <x:c r="AG60" s="48" t="n">
        <x:f>IF(A60="","",S60+AF60)</x:f>
        <x:v>0.20957750000000003</x:v>
      </x:c>
      <x:c r="AH60" t="str">
        <x:f>IF(A60="","",IF(AF60&gt;0,"ACV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61">
      <x:c r="A61" s="49" t="str">
        <x:v>Ertapénem</x:v>
      </x:c>
      <x:c r="B61" s="49" t="str">
        <x:v>Flacon 1 g</x:v>
      </x:c>
      <x:c r="C61" s="49" t="str">
        <x:v>flacon verre</x:v>
      </x:c>
      <x:c r="D61" s="49" t="str">
        <x:v>Ertapénem</x:v>
      </x:c>
      <x:c r="E61" s="49" t="n">
        <x:v>1000</x:v>
      </x:c>
      <x:c r="F61" s="49" t="str"/>
      <x:c r="G61" s="49"/>
      <x:c r="H61" s="49" t="str"/>
      <x:c r="I61" s="49"/>
      <x:c r="J61" s="49" t="n">
        <x:f>IFERROR(SUM(E61,G61,I61)/1000,"")</x:f>
        <x:v>1</x:v>
      </x:c>
      <x:c r="K61" s="49" t="n">
        <x:f>$E$4</x:f>
        <x:v>100</x:v>
      </x:c>
      <x:c r="L61" s="49" t="n">
        <x:f>IF(J61="","",J61/1000*K61*(1+$E$5/100))</x:f>
        <x:v>0.10500000000000001</x:v>
      </x:c>
      <x:c r="M61" s="49" t="n">
        <x:f>IF(J61="","",J61/1000*$E$6)</x:f>
        <x:v>0.000095</x:v>
      </x:c>
      <x:c r="N61" s="49" t="n">
        <x:f>IF(C61="ampoule verre",$E$12,IF(C61="poche PEA",$E$13,$E$11))</x:f>
        <x:v>10</x:v>
      </x:c>
      <x:c r="O61" s="49" t="n">
        <x:f>IF(C61="ampoule verre",$E$8,IF(C61="poche PEA",$E$9,$E$7))</x:f>
        <x:v>7.1</x:v>
      </x:c>
      <x:c r="P61" s="49" t="n">
        <x:f>N61/1000*O61*(1+$E$5/100)</x:f>
        <x:v>0.07454999999999999</x:v>
      </x:c>
      <x:c r="Q61" s="49" t="n">
        <x:f>$E$14</x:f>
        <x:v>3</x:v>
      </x:c>
      <x:c r="R61" s="49" t="n">
        <x:f>Q61/1000*$E$10</x:f>
        <x:v>0.00348</x:v>
      </x:c>
      <x:c r="S61" s="49" t="n">
        <x:f>IF(J61="","",SUM(L61:M61,P61,R61))</x:f>
        <x:v>0.183125</x:v>
      </x:c>
      <x:c r="T61" s="49" t="str">
        <x:f>IF(OR(J61="",K61=$E$4),"Élevé - FE PA générique",IF(W61&lt;&gt;"","À vérifier","Moyen"))</x:f>
        <x:v>Élevé - FE PA générique</x:v>
      </x:c>
      <x:c r="U61" s="49" t="str">
        <x:v>Breaking Stab</x:v>
      </x:c>
      <x:c r="V61" s="49" t="str">
        <x:v>EcovaMED v0.7 + hypothèses internes explicites</x:v>
      </x:c>
      <x:c r="W61" s="49" t="str"/>
      <x:c r="X61" t="str">
        <x:f>IF(A61="","",IF(OR(ISNUMBER(SEARCH("poche",C61)),ISNUMBER(SEARCH("ampoule",C61)),ISNUMBER(SEARCH("plastique",C61))),"Prêt à être dilué / administré (hypothèse)","Reconstitution nécessaire (hypothèse)"))</x:f>
        <x:v>Reconstitution nécessaire (hypothèse)</x:v>
      </x:c>
      <x:c r="Y61" t="str">
        <x:f>IF(A61="","",IF(ISNUMBER(SEARCH("Reconstitution",X61)),"Flacon/poudre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61" t="n">
        <x:f>IF(A61="","",IF(ISNUMBER(SEARCH("Reconstitution",X61)),1,0))</x:f>
        <x:v>1</x:v>
      </x:c>
      <x:c r="AA61" t="str">
        <x:f>IF(Z61&gt;0,"SERINGUE_PP_24ML","")</x:f>
        <x:v>SERINGUE_PP_24ML</x:v>
      </x:c>
      <x:c r="AB61" s="48" t="n">
        <x:f>IF(Z61&gt;0,Z61*VLOOKUP(AA61,FACTEURS_ITEMS!$A$3:$J$30,4,FALSE),0)</x:f>
        <x:v>0.069</x:v>
      </x:c>
      <x:c r="AC61" t="n">
        <x:f>IF(A61="","",IF(ISNUMBER(SEARCH("Reconstitution",X61)),1,0))</x:f>
        <x:v>1</x:v>
      </x:c>
      <x:c r="AD61" t="str">
        <x:f>IF(AC61&gt;0,"AIGUILLE_RECONSTITUTION","")</x:f>
        <x:v>AIGUILLE_RECONSTITUTION</x:v>
      </x:c>
      <x:c r="AE61" s="48" t="n">
        <x:f>IF(AC61&gt;0,AC61*VLOOKUP(AD61,FACTEURS_ITEMS!$A$3:$J$30,4,FALSE),0)</x:f>
        <x:v>0.01</x:v>
      </x:c>
      <x:c r="AF61" s="48" t="n">
        <x:f>IF(A61="","",AB61+AE61)</x:f>
        <x:v>0.079</x:v>
      </x:c>
      <x:c r="AG61" s="48" t="n">
        <x:f>IF(A61="","",S61+AF61)</x:f>
        <x:v>0.262125</x:v>
      </x:c>
      <x:c r="AH61" t="str">
        <x:f>IF(A61="","",IF(AF61&gt;0,"ACV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62">
      <x:c r="A62" s="49" t="str">
        <x:v>Fluconazole</x:v>
      </x:c>
      <x:c r="B62" s="49" t="str">
        <x:v>Poche prêt-à-l’emploi 200 mg</x:v>
      </x:c>
      <x:c r="C62" s="49" t="str">
        <x:v>poche PEA</x:v>
      </x:c>
      <x:c r="D62" s="49" t="str">
        <x:v>Fluconazole</x:v>
      </x:c>
      <x:c r="E62" s="49" t="n">
        <x:v>200</x:v>
      </x:c>
      <x:c r="F62" s="49" t="str"/>
      <x:c r="G62" s="49"/>
      <x:c r="H62" s="49" t="str"/>
      <x:c r="I62" s="49"/>
      <x:c r="J62" s="49" t="n">
        <x:f>IFERROR(SUM(E62,G62,I62)/1000,"")</x:f>
        <x:v>0.2</x:v>
      </x:c>
      <x:c r="K62" s="49" t="n">
        <x:f>$E$4</x:f>
        <x:v>100</x:v>
      </x:c>
      <x:c r="L62" s="49" t="n">
        <x:f>IF(J62="","",J62/1000*K62*(1+$E$5/100))</x:f>
        <x:v>0.021</x:v>
      </x:c>
      <x:c r="M62" s="49" t="n">
        <x:f>IF(J62="","",J62/1000*$E$6)</x:f>
        <x:v>0.000019</x:v>
      </x:c>
      <x:c r="N62" s="49" t="n">
        <x:f>IF(C62="ampoule verre",$E$12,IF(C62="poche PEA",$E$13,$E$11))</x:f>
        <x:v>20</x:v>
      </x:c>
      <x:c r="O62" s="49" t="n">
        <x:f>IF(C62="ampoule verre",$E$8,IF(C62="poche PEA",$E$9,$E$7))</x:f>
        <x:v>4.2</x:v>
      </x:c>
      <x:c r="P62" s="49" t="n">
        <x:f>N62/1000*O62*(1+$E$5/100)</x:f>
        <x:v>0.08820000000000001</x:v>
      </x:c>
      <x:c r="Q62" s="49" t="n">
        <x:f>$E$14</x:f>
        <x:v>3</x:v>
      </x:c>
      <x:c r="R62" s="49" t="n">
        <x:f>Q62/1000*$E$10</x:f>
        <x:v>0.00348</x:v>
      </x:c>
      <x:c r="S62" s="49" t="n">
        <x:f>IF(J62="","",SUM(L62:M62,P62,R62))</x:f>
        <x:v>0.11269900000000001</x:v>
      </x:c>
      <x:c r="T62" s="49" t="str">
        <x:f>IF(OR(J62="",K62=$E$4),"Élevé - FE PA générique",IF(W62&lt;&gt;"","À vérifier","Moyen"))</x:f>
        <x:v>Élevé - FE PA générique</x:v>
      </x:c>
      <x:c r="U62" s="49" t="str">
        <x:v>Breaking Stab</x:v>
      </x:c>
      <x:c r="V62" s="49" t="str">
        <x:v>EcovaMED v0.7 + hypothèses internes explicites</x:v>
      </x:c>
      <x:c r="W62" s="49" t="str">
        <x:v>Présentation prêt-à-l’emploi : le conditionnement primaire réel doit être remplacé par le poids fournisseur si disponible.</x:v>
      </x:c>
      <x:c r="X62" t="str">
        <x:f>IF(A62="","",IF(OR(ISNUMBER(SEARCH("poche",C62)),ISNUMBER(SEARCH("ampoule",C62)),ISNUMBER(SEARCH("plastique",C62))),"Prêt à être dilué / administré (hypothèse)","Reconstitution nécessaire (hypothèse)"))</x:f>
        <x:v>Prêt à être dilué / administré (hypothèse)</x:v>
      </x:c>
      <x:c r="Y62" t="str">
        <x:f>IF(A62="","",IF(ISNUMBER(SEARCH("Reconstitution",X62)),"Flacon/poudre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62" t="n">
        <x:f>IF(A62="","",IF(ISNUMBER(SEARCH("Reconstitution",X62)),1,0))</x:f>
        <x:v>0</x:v>
      </x:c>
      <x:c r="AA62" t="str">
        <x:f>IF(Z62&gt;0,"SERINGUE_PP_24ML","")</x:f>
      </x:c>
      <x:c r="AB62" s="48" t="n">
        <x:f>IF(Z62&gt;0,Z62*VLOOKUP(AA62,FACTEURS_ITEMS!$A$3:$J$30,4,FALSE),0)</x:f>
        <x:v>0</x:v>
      </x:c>
      <x:c r="AC62" t="n">
        <x:f>IF(A62="","",IF(ISNUMBER(SEARCH("Reconstitution",X62)),1,0))</x:f>
        <x:v>0</x:v>
      </x:c>
      <x:c r="AD62" t="str">
        <x:f>IF(AC62&gt;0,"AIGUILLE_RECONSTITUTION","")</x:f>
      </x:c>
      <x:c r="AE62" s="48" t="n">
        <x:f>IF(AC62&gt;0,AC62*VLOOKUP(AD62,FACTEURS_ITEMS!$A$3:$J$30,4,FALSE),0)</x:f>
        <x:v>0</x:v>
      </x:c>
      <x:c r="AF62" s="48" t="n">
        <x:f>IF(A62="","",AB62+AE62)</x:f>
        <x:v>0</x:v>
      </x:c>
      <x:c r="AG62" s="48" t="n">
        <x:f>IF(A62="","",S62+AF62)</x:f>
        <x:v>0.11269900000000001</x:v>
      </x:c>
      <x:c r="AH62" t="str">
        <x:f>IF(A62="","",IF(AF62&gt;0,"ACV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63">
      <x:c r="A63" s="49" t="str">
        <x:v>Fluconazole</x:v>
      </x:c>
      <x:c r="B63" s="49" t="str">
        <x:v>Poche prêt-à-l’emploi 400 mg</x:v>
      </x:c>
      <x:c r="C63" s="49" t="str">
        <x:v>poche PEA</x:v>
      </x:c>
      <x:c r="D63" s="49" t="str">
        <x:v>Fluconazole</x:v>
      </x:c>
      <x:c r="E63" s="49" t="n">
        <x:v>400</x:v>
      </x:c>
      <x:c r="F63" s="49" t="str"/>
      <x:c r="G63" s="49"/>
      <x:c r="H63" s="49" t="str"/>
      <x:c r="I63" s="49"/>
      <x:c r="J63" s="49" t="n">
        <x:f>IFERROR(SUM(E63,G63,I63)/1000,"")</x:f>
        <x:v>0.4</x:v>
      </x:c>
      <x:c r="K63" s="49" t="n">
        <x:f>$E$4</x:f>
        <x:v>100</x:v>
      </x:c>
      <x:c r="L63" s="49" t="n">
        <x:f>IF(J63="","",J63/1000*K63*(1+$E$5/100))</x:f>
        <x:v>0.042</x:v>
      </x:c>
      <x:c r="M63" s="49" t="n">
        <x:f>IF(J63="","",J63/1000*$E$6)</x:f>
        <x:v>0.000038</x:v>
      </x:c>
      <x:c r="N63" s="49" t="n">
        <x:f>IF(C63="ampoule verre",$E$12,IF(C63="poche PEA",$E$13,$E$11))</x:f>
        <x:v>20</x:v>
      </x:c>
      <x:c r="O63" s="49" t="n">
        <x:f>IF(C63="ampoule verre",$E$8,IF(C63="poche PEA",$E$9,$E$7))</x:f>
        <x:v>4.2</x:v>
      </x:c>
      <x:c r="P63" s="49" t="n">
        <x:f>N63/1000*O63*(1+$E$5/100)</x:f>
        <x:v>0.08820000000000001</x:v>
      </x:c>
      <x:c r="Q63" s="49" t="n">
        <x:f>$E$14</x:f>
        <x:v>3</x:v>
      </x:c>
      <x:c r="R63" s="49" t="n">
        <x:f>Q63/1000*$E$10</x:f>
        <x:v>0.00348</x:v>
      </x:c>
      <x:c r="S63" s="49" t="n">
        <x:f>IF(J63="","",SUM(L63:M63,P63,R63))</x:f>
        <x:v>0.13371800000000003</x:v>
      </x:c>
      <x:c r="T63" s="49" t="str">
        <x:f>IF(OR(J63="",K63=$E$4),"Élevé - FE PA générique",IF(W63&lt;&gt;"","À vérifier","Moyen"))</x:f>
        <x:v>Élevé - FE PA générique</x:v>
      </x:c>
      <x:c r="U63" s="49" t="str">
        <x:v>Breaking Stab</x:v>
      </x:c>
      <x:c r="V63" s="49" t="str">
        <x:v>EcovaMED v0.7 + hypothèses internes explicites</x:v>
      </x:c>
      <x:c r="W63" s="49" t="str">
        <x:v>Présentation prêt-à-l’emploi : le conditionnement primaire réel doit être remplacé par le poids fournisseur si disponible.</x:v>
      </x:c>
      <x:c r="X63" t="str">
        <x:f>IF(A63="","",IF(OR(ISNUMBER(SEARCH("poche",C63)),ISNUMBER(SEARCH("ampoule",C63)),ISNUMBER(SEARCH("plastique",C63))),"Prêt à être dilué / administré (hypothèse)","Reconstitution nécessaire (hypothèse)"))</x:f>
        <x:v>Prêt à être dilué / administré (hypothèse)</x:v>
      </x:c>
      <x:c r="Y63" t="str">
        <x:f>IF(A63="","",IF(ISNUMBER(SEARCH("Reconstitution",X63)),"Flacon/poudre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63" t="n">
        <x:f>IF(A63="","",IF(ISNUMBER(SEARCH("Reconstitution",X63)),1,0))</x:f>
        <x:v>0</x:v>
      </x:c>
      <x:c r="AA63" t="str">
        <x:f>IF(Z63&gt;0,"SERINGUE_PP_24ML","")</x:f>
      </x:c>
      <x:c r="AB63" s="48" t="n">
        <x:f>IF(Z63&gt;0,Z63*VLOOKUP(AA63,FACTEURS_ITEMS!$A$3:$J$30,4,FALSE),0)</x:f>
        <x:v>0</x:v>
      </x:c>
      <x:c r="AC63" t="n">
        <x:f>IF(A63="","",IF(ISNUMBER(SEARCH("Reconstitution",X63)),1,0))</x:f>
        <x:v>0</x:v>
      </x:c>
      <x:c r="AD63" t="str">
        <x:f>IF(AC63&gt;0,"AIGUILLE_RECONSTITUTION","")</x:f>
      </x:c>
      <x:c r="AE63" s="48" t="n">
        <x:f>IF(AC63&gt;0,AC63*VLOOKUP(AD63,FACTEURS_ITEMS!$A$3:$J$30,4,FALSE),0)</x:f>
        <x:v>0</x:v>
      </x:c>
      <x:c r="AF63" s="48" t="n">
        <x:f>IF(A63="","",AB63+AE63)</x:f>
        <x:v>0</x:v>
      </x:c>
      <x:c r="AG63" s="48" t="n">
        <x:f>IF(A63="","",S63+AF63)</x:f>
        <x:v>0.13371800000000003</x:v>
      </x:c>
      <x:c r="AH63" t="str">
        <x:f>IF(A63="","",IF(AF63&gt;0,"ACV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64">
      <x:c r="A64" s="49" t="str">
        <x:v>Fosfomycine IV</x:v>
      </x:c>
      <x:c r="B64" s="49" t="str">
        <x:v>Flacon 4 g</x:v>
      </x:c>
      <x:c r="C64" s="49" t="str">
        <x:v>flacon verre</x:v>
      </x:c>
      <x:c r="D64" s="49" t="str">
        <x:v>Fosfomycine</x:v>
      </x:c>
      <x:c r="E64" s="49" t="n">
        <x:v>4000</x:v>
      </x:c>
      <x:c r="F64" s="49" t="str"/>
      <x:c r="G64" s="49"/>
      <x:c r="H64" s="49" t="str"/>
      <x:c r="I64" s="49"/>
      <x:c r="J64" s="49" t="n">
        <x:f>IFERROR(SUM(E64,G64,I64)/1000,"")</x:f>
        <x:v>4</x:v>
      </x:c>
      <x:c r="K64" s="49" t="n">
        <x:f>$E$4</x:f>
        <x:v>100</x:v>
      </x:c>
      <x:c r="L64" s="49" t="n">
        <x:f>IF(J64="","",J64/1000*K64*(1+$E$5/100))</x:f>
        <x:v>0.42000000000000004</x:v>
      </x:c>
      <x:c r="M64" s="49" t="n">
        <x:f>IF(J64="","",J64/1000*$E$6)</x:f>
        <x:v>0.00038</x:v>
      </x:c>
      <x:c r="N64" s="49" t="n">
        <x:f>IF(C64="ampoule verre",$E$12,IF(C64="poche PEA",$E$13,$E$11))</x:f>
        <x:v>10</x:v>
      </x:c>
      <x:c r="O64" s="49" t="n">
        <x:f>IF(C64="ampoule verre",$E$8,IF(C64="poche PEA",$E$9,$E$7))</x:f>
        <x:v>7.1</x:v>
      </x:c>
      <x:c r="P64" s="49" t="n">
        <x:f>N64/1000*O64*(1+$E$5/100)</x:f>
        <x:v>0.07454999999999999</x:v>
      </x:c>
      <x:c r="Q64" s="49" t="n">
        <x:f>$E$14</x:f>
        <x:v>3</x:v>
      </x:c>
      <x:c r="R64" s="49" t="n">
        <x:f>Q64/1000*$E$10</x:f>
        <x:v>0.00348</x:v>
      </x:c>
      <x:c r="S64" s="49" t="n">
        <x:f>IF(J64="","",SUM(L64:M64,P64,R64))</x:f>
        <x:v>0.49841</x:v>
      </x:c>
      <x:c r="T64" s="49" t="str">
        <x:f>IF(OR(J64="",K64=$E$4),"Élevé - FE PA générique",IF(W64&lt;&gt;"","À vérifier","Moyen"))</x:f>
        <x:v>Élevé - FE PA générique</x:v>
      </x:c>
      <x:c r="U64" s="49" t="str">
        <x:v>Breaking Stab</x:v>
      </x:c>
      <x:c r="V64" s="49" t="str">
        <x:v>EcovaMED v0.7 + hypothèses internes explicites</x:v>
      </x:c>
      <x:c r="W64" s="49" t="str"/>
      <x:c r="X64" t="str">
        <x:f>IF(A64="","",IF(OR(ISNUMBER(SEARCH("poche",C64)),ISNUMBER(SEARCH("ampoule",C64)),ISNUMBER(SEARCH("plastique",C64))),"Prêt à être dilué / administré (hypothèse)","Reconstitution nécessaire (hypothèse)"))</x:f>
        <x:v>Reconstitution nécessaire (hypothèse)</x:v>
      </x:c>
      <x:c r="Y64" t="str">
        <x:f>IF(A64="","",IF(ISNUMBER(SEARCH("Reconstitution",X64)),"Flacon/poudre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64" t="n">
        <x:f>IF(A64="","",IF(ISNUMBER(SEARCH("Reconstitution",X64)),1,0))</x:f>
        <x:v>1</x:v>
      </x:c>
      <x:c r="AA64" t="str">
        <x:f>IF(Z64&gt;0,"SERINGUE_PP_24ML","")</x:f>
        <x:v>SERINGUE_PP_24ML</x:v>
      </x:c>
      <x:c r="AB64" s="48" t="n">
        <x:f>IF(Z64&gt;0,Z64*VLOOKUP(AA64,FACTEURS_ITEMS!$A$3:$J$30,4,FALSE),0)</x:f>
        <x:v>0.069</x:v>
      </x:c>
      <x:c r="AC64" t="n">
        <x:f>IF(A64="","",IF(ISNUMBER(SEARCH("Reconstitution",X64)),1,0))</x:f>
        <x:v>1</x:v>
      </x:c>
      <x:c r="AD64" t="str">
        <x:f>IF(AC64&gt;0,"AIGUILLE_RECONSTITUTION","")</x:f>
        <x:v>AIGUILLE_RECONSTITUTION</x:v>
      </x:c>
      <x:c r="AE64" s="48" t="n">
        <x:f>IF(AC64&gt;0,AC64*VLOOKUP(AD64,FACTEURS_ITEMS!$A$3:$J$30,4,FALSE),0)</x:f>
        <x:v>0.01</x:v>
      </x:c>
      <x:c r="AF64" s="48" t="n">
        <x:f>IF(A64="","",AB64+AE64)</x:f>
        <x:v>0.079</x:v>
      </x:c>
      <x:c r="AG64" s="48" t="n">
        <x:f>IF(A64="","",S64+AF64)</x:f>
        <x:v>0.57741</x:v>
      </x:c>
      <x:c r="AH64" t="str">
        <x:f>IF(A64="","",IF(AF64&gt;0,"ACV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65">
      <x:c r="A65" s="49" t="str">
        <x:v>Fosfomycine IV</x:v>
      </x:c>
      <x:c r="B65" s="49" t="str">
        <x:v>Flacon 8 g</x:v>
      </x:c>
      <x:c r="C65" s="49" t="str">
        <x:v>flacon verre</x:v>
      </x:c>
      <x:c r="D65" s="49" t="str">
        <x:v>Fosfomycine</x:v>
      </x:c>
      <x:c r="E65" s="49" t="n">
        <x:v>8000</x:v>
      </x:c>
      <x:c r="F65" s="49" t="str"/>
      <x:c r="G65" s="49"/>
      <x:c r="H65" s="49" t="str"/>
      <x:c r="I65" s="49"/>
      <x:c r="J65" s="49" t="n">
        <x:f>IFERROR(SUM(E65,G65,I65)/1000,"")</x:f>
        <x:v>8</x:v>
      </x:c>
      <x:c r="K65" s="49" t="n">
        <x:f>$E$4</x:f>
        <x:v>100</x:v>
      </x:c>
      <x:c r="L65" s="49" t="n">
        <x:f>IF(J65="","",J65/1000*K65*(1+$E$5/100))</x:f>
        <x:v>0.8400000000000001</x:v>
      </x:c>
      <x:c r="M65" s="49" t="n">
        <x:f>IF(J65="","",J65/1000*$E$6)</x:f>
        <x:v>0.00076</x:v>
      </x:c>
      <x:c r="N65" s="49" t="n">
        <x:f>IF(C65="ampoule verre",$E$12,IF(C65="poche PEA",$E$13,$E$11))</x:f>
        <x:v>10</x:v>
      </x:c>
      <x:c r="O65" s="49" t="n">
        <x:f>IF(C65="ampoule verre",$E$8,IF(C65="poche PEA",$E$9,$E$7))</x:f>
        <x:v>7.1</x:v>
      </x:c>
      <x:c r="P65" s="49" t="n">
        <x:f>N65/1000*O65*(1+$E$5/100)</x:f>
        <x:v>0.07454999999999999</x:v>
      </x:c>
      <x:c r="Q65" s="49" t="n">
        <x:f>$E$14</x:f>
        <x:v>3</x:v>
      </x:c>
      <x:c r="R65" s="49" t="n">
        <x:f>Q65/1000*$E$10</x:f>
        <x:v>0.00348</x:v>
      </x:c>
      <x:c r="S65" s="49" t="n">
        <x:f>IF(J65="","",SUM(L65:M65,P65,R65))</x:f>
        <x:v>0.9187900000000001</x:v>
      </x:c>
      <x:c r="T65" s="49" t="str">
        <x:f>IF(OR(J65="",K65=$E$4),"Élevé - FE PA générique",IF(W65&lt;&gt;"","À vérifier","Moyen"))</x:f>
        <x:v>Élevé - FE PA générique</x:v>
      </x:c>
      <x:c r="U65" s="49" t="str">
        <x:v>Breaking Stab</x:v>
      </x:c>
      <x:c r="V65" s="49" t="str">
        <x:v>EcovaMED v0.7 + hypothèses internes explicites</x:v>
      </x:c>
      <x:c r="W65" s="49" t="str"/>
      <x:c r="X65" t="str">
        <x:f>IF(A65="","",IF(OR(ISNUMBER(SEARCH("poche",C65)),ISNUMBER(SEARCH("ampoule",C65)),ISNUMBER(SEARCH("plastique",C65))),"Prêt à être dilué / administré (hypothèse)","Reconstitution nécessaire (hypothèse)"))</x:f>
        <x:v>Reconstitution nécessaire (hypothèse)</x:v>
      </x:c>
      <x:c r="Y65" t="str">
        <x:f>IF(A65="","",IF(ISNUMBER(SEARCH("Reconstitution",X65)),"Flacon/poudre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65" t="n">
        <x:f>IF(A65="","",IF(ISNUMBER(SEARCH("Reconstitution",X65)),1,0))</x:f>
        <x:v>1</x:v>
      </x:c>
      <x:c r="AA65" t="str">
        <x:f>IF(Z65&gt;0,"SERINGUE_PP_24ML","")</x:f>
        <x:v>SERINGUE_PP_24ML</x:v>
      </x:c>
      <x:c r="AB65" s="48" t="n">
        <x:f>IF(Z65&gt;0,Z65*VLOOKUP(AA65,FACTEURS_ITEMS!$A$3:$J$30,4,FALSE),0)</x:f>
        <x:v>0.069</x:v>
      </x:c>
      <x:c r="AC65" t="n">
        <x:f>IF(A65="","",IF(ISNUMBER(SEARCH("Reconstitution",X65)),1,0))</x:f>
        <x:v>1</x:v>
      </x:c>
      <x:c r="AD65" t="str">
        <x:f>IF(AC65&gt;0,"AIGUILLE_RECONSTITUTION","")</x:f>
        <x:v>AIGUILLE_RECONSTITUTION</x:v>
      </x:c>
      <x:c r="AE65" s="48" t="n">
        <x:f>IF(AC65&gt;0,AC65*VLOOKUP(AD65,FACTEURS_ITEMS!$A$3:$J$30,4,FALSE),0)</x:f>
        <x:v>0.01</x:v>
      </x:c>
      <x:c r="AF65" s="48" t="n">
        <x:f>IF(A65="","",AB65+AE65)</x:f>
        <x:v>0.079</x:v>
      </x:c>
      <x:c r="AG65" s="48" t="n">
        <x:f>IF(A65="","",S65+AF65)</x:f>
        <x:v>0.9977900000000001</x:v>
      </x:c>
      <x:c r="AH65" t="str">
        <x:f>IF(A65="","",IF(AF65&gt;0,"ACV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66">
      <x:c r="A66" s="49" t="str">
        <x:v>Gentamicine</x:v>
      </x:c>
      <x:c r="B66" s="49" t="str">
        <x:v>Ampoule 80 mg</x:v>
      </x:c>
      <x:c r="C66" s="49" t="str">
        <x:v>ampoule verre</x:v>
      </x:c>
      <x:c r="D66" s="49" t="str">
        <x:v>Gentamicine</x:v>
      </x:c>
      <x:c r="E66" s="49" t="n">
        <x:v>80</x:v>
      </x:c>
      <x:c r="F66" s="49" t="str"/>
      <x:c r="G66" s="49"/>
      <x:c r="H66" s="49" t="str"/>
      <x:c r="I66" s="49"/>
      <x:c r="J66" s="49" t="n">
        <x:f>IFERROR(SUM(E66,G66,I66)/1000,"")</x:f>
        <x:v>0.08</x:v>
      </x:c>
      <x:c r="K66" s="49" t="n">
        <x:f>$E$4</x:f>
        <x:v>100</x:v>
      </x:c>
      <x:c r="L66" s="49" t="n">
        <x:f>IF(J66="","",J66/1000*K66*(1+$E$5/100))</x:f>
        <x:v>0.008400000000000001</x:v>
      </x:c>
      <x:c r="M66" s="49" t="n">
        <x:f>IF(J66="","",J66/1000*$E$6)</x:f>
        <x:v>0.000007600000000000001</x:v>
      </x:c>
      <x:c r="N66" s="49" t="n">
        <x:f>IF(C66="ampoule verre",$E$12,IF(C66="poche PEA",$E$13,$E$11))</x:f>
        <x:v>5</x:v>
      </x:c>
      <x:c r="O66" s="49" t="n">
        <x:f>IF(C66="ampoule verre",$E$8,IF(C66="poche PEA",$E$9,$E$7))</x:f>
        <x:v>5</x:v>
      </x:c>
      <x:c r="P66" s="49" t="n">
        <x:f>N66/1000*O66*(1+$E$5/100)</x:f>
        <x:v>0.026250000000000002</x:v>
      </x:c>
      <x:c r="Q66" s="49" t="n">
        <x:f>$E$14</x:f>
        <x:v>3</x:v>
      </x:c>
      <x:c r="R66" s="49" t="n">
        <x:f>Q66/1000*$E$10</x:f>
        <x:v>0.00348</x:v>
      </x:c>
      <x:c r="S66" s="49" t="n">
        <x:f>IF(J66="","",SUM(L66:M66,P66,R66))</x:f>
        <x:v>0.0381376</x:v>
      </x:c>
      <x:c r="T66" s="49" t="str">
        <x:f>IF(OR(J66="",K66=$E$4),"Élevé - FE PA générique",IF(W66&lt;&gt;"","À vérifier","Moyen"))</x:f>
        <x:v>Élevé - FE PA générique</x:v>
      </x:c>
      <x:c r="U66" s="49" t="str">
        <x:v>Breaking Stab</x:v>
      </x:c>
      <x:c r="V66" s="49" t="str">
        <x:v>EcovaMED v0.7 + hypothèses internes explicites</x:v>
      </x:c>
      <x:c r="W66" s="49" t="str"/>
      <x:c r="X66" t="str">
        <x:f>IF(A66="","",IF(OR(ISNUMBER(SEARCH("poche",C66)),ISNUMBER(SEARCH("ampoule",C66)),ISNUMBER(SEARCH("plastique",C66))),"Prêt à être dilué / administré (hypothèse)","Reconstitution nécessaire (hypothèse)"))</x:f>
        <x:v>Prêt à être dilué / administré (hypothèse)</x:v>
      </x:c>
      <x:c r="Y66" t="str">
        <x:f>IF(A66="","",IF(ISNUMBER(SEARCH("Reconstitution",X66)),"Flacon/poudre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66" t="n">
        <x:f>IF(A66="","",IF(ISNUMBER(SEARCH("Reconstitution",X66)),1,0))</x:f>
        <x:v>0</x:v>
      </x:c>
      <x:c r="AA66" t="str">
        <x:f>IF(Z66&gt;0,"SERINGUE_PP_24ML","")</x:f>
      </x:c>
      <x:c r="AB66" s="48" t="n">
        <x:f>IF(Z66&gt;0,Z66*VLOOKUP(AA66,FACTEURS_ITEMS!$A$3:$J$30,4,FALSE),0)</x:f>
        <x:v>0</x:v>
      </x:c>
      <x:c r="AC66" t="n">
        <x:f>IF(A66="","",IF(ISNUMBER(SEARCH("Reconstitution",X66)),1,0))</x:f>
        <x:v>0</x:v>
      </x:c>
      <x:c r="AD66" t="str">
        <x:f>IF(AC66&gt;0,"AIGUILLE_RECONSTITUTION","")</x:f>
      </x:c>
      <x:c r="AE66" s="48" t="n">
        <x:f>IF(AC66&gt;0,AC66*VLOOKUP(AD66,FACTEURS_ITEMS!$A$3:$J$30,4,FALSE),0)</x:f>
        <x:v>0</x:v>
      </x:c>
      <x:c r="AF66" s="48" t="n">
        <x:f>IF(A66="","",AB66+AE66)</x:f>
        <x:v>0</x:v>
      </x:c>
      <x:c r="AG66" s="48" t="n">
        <x:f>IF(A66="","",S66+AF66)</x:f>
        <x:v>0.0381376</x:v>
      </x:c>
      <x:c r="AH66" t="str">
        <x:f>IF(A66="","",IF(AF66&gt;0,"ACV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67">
      <x:c r="A67" s="49" t="str">
        <x:v>Gentamicine</x:v>
      </x:c>
      <x:c r="B67" s="49" t="str">
        <x:v>Ampoule 160 mg</x:v>
      </x:c>
      <x:c r="C67" s="49" t="str">
        <x:v>ampoule verre</x:v>
      </x:c>
      <x:c r="D67" s="49" t="str">
        <x:v>Gentamicine</x:v>
      </x:c>
      <x:c r="E67" s="49" t="n">
        <x:v>160</x:v>
      </x:c>
      <x:c r="F67" s="49" t="str"/>
      <x:c r="G67" s="49"/>
      <x:c r="H67" s="49" t="str"/>
      <x:c r="I67" s="49"/>
      <x:c r="J67" s="49" t="n">
        <x:f>IFERROR(SUM(E67,G67,I67)/1000,"")</x:f>
        <x:v>0.16</x:v>
      </x:c>
      <x:c r="K67" s="49" t="n">
        <x:f>$E$4</x:f>
        <x:v>100</x:v>
      </x:c>
      <x:c r="L67" s="49" t="n">
        <x:f>IF(J67="","",J67/1000*K67*(1+$E$5/100))</x:f>
        <x:v>0.016800000000000002</x:v>
      </x:c>
      <x:c r="M67" s="49" t="n">
        <x:f>IF(J67="","",J67/1000*$E$6)</x:f>
        <x:v>0.000015200000000000002</x:v>
      </x:c>
      <x:c r="N67" s="49" t="n">
        <x:f>IF(C67="ampoule verre",$E$12,IF(C67="poche PEA",$E$13,$E$11))</x:f>
        <x:v>5</x:v>
      </x:c>
      <x:c r="O67" s="49" t="n">
        <x:f>IF(C67="ampoule verre",$E$8,IF(C67="poche PEA",$E$9,$E$7))</x:f>
        <x:v>5</x:v>
      </x:c>
      <x:c r="P67" s="49" t="n">
        <x:f>N67/1000*O67*(1+$E$5/100)</x:f>
        <x:v>0.026250000000000002</x:v>
      </x:c>
      <x:c r="Q67" s="49" t="n">
        <x:f>$E$14</x:f>
        <x:v>3</x:v>
      </x:c>
      <x:c r="R67" s="49" t="n">
        <x:f>Q67/1000*$E$10</x:f>
        <x:v>0.00348</x:v>
      </x:c>
      <x:c r="S67" s="49" t="n">
        <x:f>IF(J67="","",SUM(L67:M67,P67,R67))</x:f>
        <x:v>0.0465452</x:v>
      </x:c>
      <x:c r="T67" s="49" t="str">
        <x:f>IF(OR(J67="",K67=$E$4),"Élevé - FE PA générique",IF(W67&lt;&gt;"","À vérifier","Moyen"))</x:f>
        <x:v>Élevé - FE PA générique</x:v>
      </x:c>
      <x:c r="U67" s="49" t="str">
        <x:v>Breaking Stab</x:v>
      </x:c>
      <x:c r="V67" s="49" t="str">
        <x:v>EcovaMED v0.7 + hypothèses internes explicites</x:v>
      </x:c>
      <x:c r="W67" s="49" t="str"/>
      <x:c r="X67" t="str">
        <x:f>IF(A67="","",IF(OR(ISNUMBER(SEARCH("poche",C67)),ISNUMBER(SEARCH("ampoule",C67)),ISNUMBER(SEARCH("plastique",C67))),"Prêt à être dilué / administré (hypothèse)","Reconstitution nécessaire (hypothèse)"))</x:f>
        <x:v>Prêt à être dilué / administré (hypothèse)</x:v>
      </x:c>
      <x:c r="Y67" t="str">
        <x:f>IF(A67="","",IF(ISNUMBER(SEARCH("Reconstitution",X67)),"Flacon/poudre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67" t="n">
        <x:f>IF(A67="","",IF(ISNUMBER(SEARCH("Reconstitution",X67)),1,0))</x:f>
        <x:v>0</x:v>
      </x:c>
      <x:c r="AA67" t="str">
        <x:f>IF(Z67&gt;0,"SERINGUE_PP_24ML","")</x:f>
      </x:c>
      <x:c r="AB67" s="48" t="n">
        <x:f>IF(Z67&gt;0,Z67*VLOOKUP(AA67,FACTEURS_ITEMS!$A$3:$J$30,4,FALSE),0)</x:f>
        <x:v>0</x:v>
      </x:c>
      <x:c r="AC67" t="n">
        <x:f>IF(A67="","",IF(ISNUMBER(SEARCH("Reconstitution",X67)),1,0))</x:f>
        <x:v>0</x:v>
      </x:c>
      <x:c r="AD67" t="str">
        <x:f>IF(AC67&gt;0,"AIGUILLE_RECONSTITUTION","")</x:f>
      </x:c>
      <x:c r="AE67" s="48" t="n">
        <x:f>IF(AC67&gt;0,AC67*VLOOKUP(AD67,FACTEURS_ITEMS!$A$3:$J$30,4,FALSE),0)</x:f>
        <x:v>0</x:v>
      </x:c>
      <x:c r="AF67" s="48" t="n">
        <x:f>IF(A67="","",AB67+AE67)</x:f>
        <x:v>0</x:v>
      </x:c>
      <x:c r="AG67" s="48" t="n">
        <x:f>IF(A67="","",S67+AF67)</x:f>
        <x:v>0.0465452</x:v>
      </x:c>
      <x:c r="AH67" t="str">
        <x:f>IF(A67="","",IF(AF67&gt;0,"ACV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68">
      <x:c r="A68" s="49" t="str">
        <x:v>Imipénème/cilastatine</x:v>
      </x:c>
      <x:c r="B68" s="49" t="str">
        <x:v>Flacon 500/500 mg</x:v>
      </x:c>
      <x:c r="C68" s="49" t="str">
        <x:v>flacon verre</x:v>
      </x:c>
      <x:c r="D68" s="49" t="str">
        <x:v>Imipénème</x:v>
      </x:c>
      <x:c r="E68" s="49" t="n">
        <x:v>500</x:v>
      </x:c>
      <x:c r="F68" s="49" t="str">
        <x:v>Cilastatine</x:v>
      </x:c>
      <x:c r="G68" s="49" t="n">
        <x:v>500</x:v>
      </x:c>
      <x:c r="H68" s="49" t="str"/>
      <x:c r="I68" s="49"/>
      <x:c r="J68" s="49" t="n">
        <x:f>IFERROR(SUM(E68,G68,I68)/1000,"")</x:f>
        <x:v>1</x:v>
      </x:c>
      <x:c r="K68" s="49" t="n">
        <x:f>$E$4</x:f>
        <x:v>100</x:v>
      </x:c>
      <x:c r="L68" s="49" t="n">
        <x:f>IF(J68="","",J68/1000*K68*(1+$E$5/100))</x:f>
        <x:v>0.10500000000000001</x:v>
      </x:c>
      <x:c r="M68" s="49" t="n">
        <x:f>IF(J68="","",J68/1000*$E$6)</x:f>
        <x:v>0.000095</x:v>
      </x:c>
      <x:c r="N68" s="49" t="n">
        <x:f>IF(C68="ampoule verre",$E$12,IF(C68="poche PEA",$E$13,$E$11))</x:f>
        <x:v>10</x:v>
      </x:c>
      <x:c r="O68" s="49" t="n">
        <x:f>IF(C68="ampoule verre",$E$8,IF(C68="poche PEA",$E$9,$E$7))</x:f>
        <x:v>7.1</x:v>
      </x:c>
      <x:c r="P68" s="49" t="n">
        <x:f>N68/1000*O68*(1+$E$5/100)</x:f>
        <x:v>0.07454999999999999</x:v>
      </x:c>
      <x:c r="Q68" s="49" t="n">
        <x:f>$E$14</x:f>
        <x:v>3</x:v>
      </x:c>
      <x:c r="R68" s="49" t="n">
        <x:f>Q68/1000*$E$10</x:f>
        <x:v>0.00348</x:v>
      </x:c>
      <x:c r="S68" s="49" t="n">
        <x:f>IF(J68="","",SUM(L68:M68,P68,R68))</x:f>
        <x:v>0.183125</x:v>
      </x:c>
      <x:c r="T68" s="49" t="str">
        <x:f>IF(OR(J68="",K68=$E$4),"Élevé - FE PA générique",IF(W68&lt;&gt;"","À vérifier","Moyen"))</x:f>
        <x:v>Élevé - FE PA générique</x:v>
      </x:c>
      <x:c r="U68" s="49" t="str">
        <x:v>Breaking Stab</x:v>
      </x:c>
      <x:c r="V68" s="49" t="str">
        <x:v>EcovaMED v0.7 + hypothèses internes explicites</x:v>
      </x:c>
      <x:c r="W68" s="49" t="str"/>
      <x:c r="X68" t="str">
        <x:f>IF(A68="","",IF(OR(ISNUMBER(SEARCH("poche",C68)),ISNUMBER(SEARCH("ampoule",C68)),ISNUMBER(SEARCH("plastique",C68))),"Prêt à être dilué / administré (hypothèse)","Reconstitution nécessaire (hypothèse)"))</x:f>
        <x:v>Reconstitution nécessaire (hypothèse)</x:v>
      </x:c>
      <x:c r="Y68" t="str">
        <x:f>IF(A68="","",IF(ISNUMBER(SEARCH("Reconstitution",X68)),"Flacon/poudre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68" t="n">
        <x:f>IF(A68="","",IF(ISNUMBER(SEARCH("Reconstitution",X68)),1,0))</x:f>
        <x:v>1</x:v>
      </x:c>
      <x:c r="AA68" t="str">
        <x:f>IF(Z68&gt;0,"SERINGUE_PP_24ML","")</x:f>
        <x:v>SERINGUE_PP_24ML</x:v>
      </x:c>
      <x:c r="AB68" s="48" t="n">
        <x:f>IF(Z68&gt;0,Z68*VLOOKUP(AA68,FACTEURS_ITEMS!$A$3:$J$30,4,FALSE),0)</x:f>
        <x:v>0.069</x:v>
      </x:c>
      <x:c r="AC68" t="n">
        <x:f>IF(A68="","",IF(ISNUMBER(SEARCH("Reconstitution",X68)),1,0))</x:f>
        <x:v>1</x:v>
      </x:c>
      <x:c r="AD68" t="str">
        <x:f>IF(AC68&gt;0,"AIGUILLE_RECONSTITUTION","")</x:f>
        <x:v>AIGUILLE_RECONSTITUTION</x:v>
      </x:c>
      <x:c r="AE68" s="48" t="n">
        <x:f>IF(AC68&gt;0,AC68*VLOOKUP(AD68,FACTEURS_ITEMS!$A$3:$J$30,4,FALSE),0)</x:f>
        <x:v>0.01</x:v>
      </x:c>
      <x:c r="AF68" s="48" t="n">
        <x:f>IF(A68="","",AB68+AE68)</x:f>
        <x:v>0.079</x:v>
      </x:c>
      <x:c r="AG68" s="48" t="n">
        <x:f>IF(A68="","",S68+AF68)</x:f>
        <x:v>0.262125</x:v>
      </x:c>
      <x:c r="AH68" t="str">
        <x:f>IF(A68="","",IF(AF68&gt;0,"ACV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69">
      <x:c r="A69" s="49" t="str">
        <x:v>Imipénem/relebactam</x:v>
      </x:c>
      <x:c r="B69" s="49" t="str">
        <x:v>Flacon 500/500/250 mg</x:v>
      </x:c>
      <x:c r="C69" s="49" t="str">
        <x:v>flacon verre</x:v>
      </x:c>
      <x:c r="D69" s="49" t="str">
        <x:v>Imipénème</x:v>
      </x:c>
      <x:c r="E69" s="49" t="n">
        <x:v>500</x:v>
      </x:c>
      <x:c r="F69" s="49" t="str">
        <x:v>Cilastatine</x:v>
      </x:c>
      <x:c r="G69" s="49" t="n">
        <x:v>500</x:v>
      </x:c>
      <x:c r="H69" s="49" t="str">
        <x:v>Relebactam</x:v>
      </x:c>
      <x:c r="I69" s="49" t="n">
        <x:v>250</x:v>
      </x:c>
      <x:c r="J69" s="49" t="n">
        <x:f>IFERROR(SUM(E69,G69,I69)/1000,"")</x:f>
        <x:v>1.25</x:v>
      </x:c>
      <x:c r="K69" s="49" t="n">
        <x:f>$E$4</x:f>
        <x:v>100</x:v>
      </x:c>
      <x:c r="L69" s="49" t="n">
        <x:f>IF(J69="","",J69/1000*K69*(1+$E$5/100))</x:f>
        <x:v>0.13125</x:v>
      </x:c>
      <x:c r="M69" s="49" t="n">
        <x:f>IF(J69="","",J69/1000*$E$6)</x:f>
        <x:v>0.00011875</x:v>
      </x:c>
      <x:c r="N69" s="49" t="n">
        <x:f>IF(C69="ampoule verre",$E$12,IF(C69="poche PEA",$E$13,$E$11))</x:f>
        <x:v>10</x:v>
      </x:c>
      <x:c r="O69" s="49" t="n">
        <x:f>IF(C69="ampoule verre",$E$8,IF(C69="poche PEA",$E$9,$E$7))</x:f>
        <x:v>7.1</x:v>
      </x:c>
      <x:c r="P69" s="49" t="n">
        <x:f>N69/1000*O69*(1+$E$5/100)</x:f>
        <x:v>0.07454999999999999</x:v>
      </x:c>
      <x:c r="Q69" s="49" t="n">
        <x:f>$E$14</x:f>
        <x:v>3</x:v>
      </x:c>
      <x:c r="R69" s="49" t="n">
        <x:f>Q69/1000*$E$10</x:f>
        <x:v>0.00348</x:v>
      </x:c>
      <x:c r="S69" s="49" t="n">
        <x:f>IF(J69="","",SUM(L69:M69,P69,R69))</x:f>
        <x:v>0.20939875</x:v>
      </x:c>
      <x:c r="T69" s="49" t="str">
        <x:f>IF(OR(J69="",K69=$E$4),"Élevé - FE PA générique",IF(W69&lt;&gt;"","À vérifier","Moyen"))</x:f>
        <x:v>Élevé - FE PA générique</x:v>
      </x:c>
      <x:c r="U69" s="49" t="str">
        <x:v>CHICAS/Breaking Stab</x:v>
      </x:c>
      <x:c r="V69" s="49" t="str">
        <x:v>EcovaMED v0.7 + hypothèses internes explicites</x:v>
      </x:c>
      <x:c r="W69" s="49" t="str"/>
      <x:c r="X69" t="str">
        <x:f>IF(A69="","",IF(OR(ISNUMBER(SEARCH("poche",C69)),ISNUMBER(SEARCH("ampoule",C69)),ISNUMBER(SEARCH("plastique",C69))),"Prêt à être dilué / administré (hypothèse)","Reconstitution nécessaire (hypothèse)"))</x:f>
        <x:v>Reconstitution nécessaire (hypothèse)</x:v>
      </x:c>
      <x:c r="Y69" t="str">
        <x:f>IF(A69="","",IF(ISNUMBER(SEARCH("Reconstitution",X69)),"Flacon/poudre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69" t="n">
        <x:f>IF(A69="","",IF(ISNUMBER(SEARCH("Reconstitution",X69)),1,0))</x:f>
        <x:v>1</x:v>
      </x:c>
      <x:c r="AA69" t="str">
        <x:f>IF(Z69&gt;0,"SERINGUE_PP_24ML","")</x:f>
        <x:v>SERINGUE_PP_24ML</x:v>
      </x:c>
      <x:c r="AB69" s="48" t="n">
        <x:f>IF(Z69&gt;0,Z69*VLOOKUP(AA69,FACTEURS_ITEMS!$A$3:$J$30,4,FALSE),0)</x:f>
        <x:v>0.069</x:v>
      </x:c>
      <x:c r="AC69" t="n">
        <x:f>IF(A69="","",IF(ISNUMBER(SEARCH("Reconstitution",X69)),1,0))</x:f>
        <x:v>1</x:v>
      </x:c>
      <x:c r="AD69" t="str">
        <x:f>IF(AC69&gt;0,"AIGUILLE_RECONSTITUTION","")</x:f>
        <x:v>AIGUILLE_RECONSTITUTION</x:v>
      </x:c>
      <x:c r="AE69" s="48" t="n">
        <x:f>IF(AC69&gt;0,AC69*VLOOKUP(AD69,FACTEURS_ITEMS!$A$3:$J$30,4,FALSE),0)</x:f>
        <x:v>0.01</x:v>
      </x:c>
      <x:c r="AF69" s="48" t="n">
        <x:f>IF(A69="","",AB69+AE69)</x:f>
        <x:v>0.079</x:v>
      </x:c>
      <x:c r="AG69" s="48" t="n">
        <x:f>IF(A69="","",S69+AF69)</x:f>
        <x:v>0.28839875</x:v>
      </x:c>
      <x:c r="AH69" t="str">
        <x:f>IF(A69="","",IF(AF69&gt;0,"ACV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0">
      <x:c r="A70" s="49" t="str">
        <x:v>Isavuconazole</x:v>
      </x:c>
      <x:c r="B70" s="49" t="str">
        <x:v>Flacon 200 mg</x:v>
      </x:c>
      <x:c r="C70" s="49" t="str">
        <x:v>flacon verre</x:v>
      </x:c>
      <x:c r="D70" s="49" t="str">
        <x:v>Isavuconazole</x:v>
      </x:c>
      <x:c r="E70" s="49" t="n">
        <x:v>200</x:v>
      </x:c>
      <x:c r="F70" s="49" t="str"/>
      <x:c r="G70" s="49"/>
      <x:c r="H70" s="49" t="str"/>
      <x:c r="I70" s="49"/>
      <x:c r="J70" s="49" t="n">
        <x:f>IFERROR(SUM(E70,G70,I70)/1000,"")</x:f>
        <x:v>0.2</x:v>
      </x:c>
      <x:c r="K70" s="49" t="n">
        <x:f>$E$4</x:f>
        <x:v>100</x:v>
      </x:c>
      <x:c r="L70" s="49" t="n">
        <x:f>IF(J70="","",J70/1000*K70*(1+$E$5/100))</x:f>
        <x:v>0.021</x:v>
      </x:c>
      <x:c r="M70" s="49" t="n">
        <x:f>IF(J70="","",J70/1000*$E$6)</x:f>
        <x:v>0.000019</x:v>
      </x:c>
      <x:c r="N70" s="49" t="n">
        <x:f>IF(C70="ampoule verre",$E$12,IF(C70="poche PEA",$E$13,$E$11))</x:f>
        <x:v>10</x:v>
      </x:c>
      <x:c r="O70" s="49" t="n">
        <x:f>IF(C70="ampoule verre",$E$8,IF(C70="poche PEA",$E$9,$E$7))</x:f>
        <x:v>7.1</x:v>
      </x:c>
      <x:c r="P70" s="49" t="n">
        <x:f>N70/1000*O70*(1+$E$5/100)</x:f>
        <x:v>0.07454999999999999</x:v>
      </x:c>
      <x:c r="Q70" s="49" t="n">
        <x:f>$E$14</x:f>
        <x:v>3</x:v>
      </x:c>
      <x:c r="R70" s="49" t="n">
        <x:f>Q70/1000*$E$10</x:f>
        <x:v>0.00348</x:v>
      </x:c>
      <x:c r="S70" s="49" t="n">
        <x:f>IF(J70="","",SUM(L70:M70,P70,R70))</x:f>
        <x:v>0.09904899999999998</x:v>
      </x:c>
      <x:c r="T70" s="49" t="str">
        <x:f>IF(OR(J70="",K70=$E$4),"Élevé - FE PA générique",IF(W70&lt;&gt;"","À vérifier","Moyen"))</x:f>
        <x:v>Élevé - FE PA générique</x:v>
      </x:c>
      <x:c r="U70" s="49" t="str">
        <x:v>Breaking Stab</x:v>
      </x:c>
      <x:c r="V70" s="49" t="str">
        <x:v>EcovaMED v0.7 + hypothèses internes explicites</x:v>
      </x:c>
      <x:c r="W70" s="49" t="str"/>
      <x:c r="X70" t="str">
        <x:f>IF(A70="","",IF(OR(ISNUMBER(SEARCH("poche",C70)),ISNUMBER(SEARCH("ampoule",C70)),ISNUMBER(SEARCH("plastique",C70))),"Prêt à être dilué / administré (hypothèse)","Reconstitution nécessaire (hypothèse)"))</x:f>
        <x:v>Reconstitution nécessaire (hypothèse)</x:v>
      </x:c>
      <x:c r="Y70" t="str">
        <x:f>IF(A70="","",IF(ISNUMBER(SEARCH("Reconstitution",X70)),"Flacon/poudre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0" t="n">
        <x:f>IF(A70="","",IF(ISNUMBER(SEARCH("Reconstitution",X70)),1,0))</x:f>
        <x:v>1</x:v>
      </x:c>
      <x:c r="AA70" t="str">
        <x:f>IF(Z70&gt;0,"SERINGUE_PP_24ML","")</x:f>
        <x:v>SERINGUE_PP_24ML</x:v>
      </x:c>
      <x:c r="AB70" s="48" t="n">
        <x:f>IF(Z70&gt;0,Z70*VLOOKUP(AA70,FACTEURS_ITEMS!$A$3:$J$30,4,FALSE),0)</x:f>
        <x:v>0.069</x:v>
      </x:c>
      <x:c r="AC70" t="n">
        <x:f>IF(A70="","",IF(ISNUMBER(SEARCH("Reconstitution",X70)),1,0))</x:f>
        <x:v>1</x:v>
      </x:c>
      <x:c r="AD70" t="str">
        <x:f>IF(AC70&gt;0,"AIGUILLE_RECONSTITUTION","")</x:f>
        <x:v>AIGUILLE_RECONSTITUTION</x:v>
      </x:c>
      <x:c r="AE70" s="48" t="n">
        <x:f>IF(AC70&gt;0,AC70*VLOOKUP(AD70,FACTEURS_ITEMS!$A$3:$J$30,4,FALSE),0)</x:f>
        <x:v>0.01</x:v>
      </x:c>
      <x:c r="AF70" s="48" t="n">
        <x:f>IF(A70="","",AB70+AE70)</x:f>
        <x:v>0.079</x:v>
      </x:c>
      <x:c r="AG70" s="48" t="n">
        <x:f>IF(A70="","",S70+AF70)</x:f>
        <x:v>0.17804899999999999</x:v>
      </x:c>
      <x:c r="AH70" t="str">
        <x:f>IF(A70="","",IF(AF70&gt;0,"ACV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1">
      <x:c r="A71" s="49" t="str">
        <x:v>Levofloxacine</x:v>
      </x:c>
      <x:c r="B71" s="49" t="str">
        <x:v>Poche prêt-à-l’emploi 500 mg</x:v>
      </x:c>
      <x:c r="C71" s="49" t="str">
        <x:v>poche PEA</x:v>
      </x:c>
      <x:c r="D71" s="49" t="str">
        <x:v>Levofloxacine</x:v>
      </x:c>
      <x:c r="E71" s="49" t="n">
        <x:v>500</x:v>
      </x:c>
      <x:c r="F71" s="49" t="str"/>
      <x:c r="G71" s="49"/>
      <x:c r="H71" s="49" t="str"/>
      <x:c r="I71" s="49"/>
      <x:c r="J71" s="49" t="n">
        <x:f>IFERROR(SUM(E71,G71,I71)/1000,"")</x:f>
        <x:v>0.5</x:v>
      </x:c>
      <x:c r="K71" s="49" t="n">
        <x:f>$E$4</x:f>
        <x:v>100</x:v>
      </x:c>
      <x:c r="L71" s="49" t="n">
        <x:f>IF(J71="","",J71/1000*K71*(1+$E$5/100))</x:f>
        <x:v>0.052500000000000005</x:v>
      </x:c>
      <x:c r="M71" s="49" t="n">
        <x:f>IF(J71="","",J71/1000*$E$6)</x:f>
        <x:v>0.0000475</x:v>
      </x:c>
      <x:c r="N71" s="49" t="n">
        <x:f>IF(C71="ampoule verre",$E$12,IF(C71="poche PEA",$E$13,$E$11))</x:f>
        <x:v>20</x:v>
      </x:c>
      <x:c r="O71" s="49" t="n">
        <x:f>IF(C71="ampoule verre",$E$8,IF(C71="poche PEA",$E$9,$E$7))</x:f>
        <x:v>4.2</x:v>
      </x:c>
      <x:c r="P71" s="49" t="n">
        <x:f>N71/1000*O71*(1+$E$5/100)</x:f>
        <x:v>0.08820000000000001</x:v>
      </x:c>
      <x:c r="Q71" s="49" t="n">
        <x:f>$E$14</x:f>
        <x:v>3</x:v>
      </x:c>
      <x:c r="R71" s="49" t="n">
        <x:f>Q71/1000*$E$10</x:f>
        <x:v>0.00348</x:v>
      </x:c>
      <x:c r="S71" s="49" t="n">
        <x:f>IF(J71="","",SUM(L71:M71,P71,R71))</x:f>
        <x:v>0.14422750000000004</x:v>
      </x:c>
      <x:c r="T71" s="49" t="str">
        <x:f>IF(OR(J71="",K71=$E$4),"Élevé - FE PA générique",IF(W71&lt;&gt;"","À vérifier","Moyen"))</x:f>
        <x:v>Élevé - FE PA générique</x:v>
      </x:c>
      <x:c r="U71" s="49" t="str">
        <x:v>Breaking Stab</x:v>
      </x:c>
      <x:c r="V71" s="49" t="str">
        <x:v>EcovaMED v0.7 + hypothèses internes explicites</x:v>
      </x:c>
      <x:c r="W71" s="49" t="str">
        <x:v>Présentation prêt-à-l’emploi : le conditionnement primaire réel doit être remplacé par le poids fournisseur si disponible.</x:v>
      </x:c>
      <x:c r="X71" t="str">
        <x:f>IF(A71="","",IF(OR(ISNUMBER(SEARCH("poche",C71)),ISNUMBER(SEARCH("ampoule",C71)),ISNUMBER(SEARCH("plastique",C71))),"Prêt à être dilué / administré (hypothèse)","Reconstitution nécessaire (hypothèse)"))</x:f>
        <x:v>Prêt à être dilué / administré (hypothèse)</x:v>
      </x:c>
      <x:c r="Y71" t="str">
        <x:f>IF(A71="","",IF(ISNUMBER(SEARCH("Reconstitution",X71)),"Flacon/poudre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71" t="n">
        <x:f>IF(A71="","",IF(ISNUMBER(SEARCH("Reconstitution",X71)),1,0))</x:f>
        <x:v>0</x:v>
      </x:c>
      <x:c r="AA71" t="str">
        <x:f>IF(Z71&gt;0,"SERINGUE_PP_24ML","")</x:f>
      </x:c>
      <x:c r="AB71" s="48" t="n">
        <x:f>IF(Z71&gt;0,Z71*VLOOKUP(AA71,FACTEURS_ITEMS!$A$3:$J$30,4,FALSE),0)</x:f>
        <x:v>0</x:v>
      </x:c>
      <x:c r="AC71" t="n">
        <x:f>IF(A71="","",IF(ISNUMBER(SEARCH("Reconstitution",X71)),1,0))</x:f>
        <x:v>0</x:v>
      </x:c>
      <x:c r="AD71" t="str">
        <x:f>IF(AC71&gt;0,"AIGUILLE_RECONSTITUTION","")</x:f>
      </x:c>
      <x:c r="AE71" s="48" t="n">
        <x:f>IF(AC71&gt;0,AC71*VLOOKUP(AD71,FACTEURS_ITEMS!$A$3:$J$30,4,FALSE),0)</x:f>
        <x:v>0</x:v>
      </x:c>
      <x:c r="AF71" s="48" t="n">
        <x:f>IF(A71="","",AB71+AE71)</x:f>
        <x:v>0</x:v>
      </x:c>
      <x:c r="AG71" s="48" t="n">
        <x:f>IF(A71="","",S71+AF71)</x:f>
        <x:v>0.14422750000000004</x:v>
      </x:c>
      <x:c r="AH71" t="str">
        <x:f>IF(A71="","",IF(AF71&gt;0,"ACV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72">
      <x:c r="A72" s="49" t="str">
        <x:v>Linezolide</x:v>
      </x:c>
      <x:c r="B72" s="49" t="str">
        <x:v>Poche prêt-à-l’emploi 600 mg</x:v>
      </x:c>
      <x:c r="C72" s="49" t="str">
        <x:v>poche PEA</x:v>
      </x:c>
      <x:c r="D72" s="49" t="str">
        <x:v>Linezolide</x:v>
      </x:c>
      <x:c r="E72" s="49" t="n">
        <x:v>600</x:v>
      </x:c>
      <x:c r="F72" s="49" t="str"/>
      <x:c r="G72" s="49"/>
      <x:c r="H72" s="49" t="str"/>
      <x:c r="I72" s="49"/>
      <x:c r="J72" s="49" t="n">
        <x:f>IFERROR(SUM(E72,G72,I72)/1000,"")</x:f>
        <x:v>0.6</x:v>
      </x:c>
      <x:c r="K72" s="49" t="n">
        <x:f>$E$4</x:f>
        <x:v>100</x:v>
      </x:c>
      <x:c r="L72" s="49" t="n">
        <x:f>IF(J72="","",J72/1000*K72*(1+$E$5/100))</x:f>
        <x:v>0.063</x:v>
      </x:c>
      <x:c r="M72" s="49" t="n">
        <x:f>IF(J72="","",J72/1000*$E$6)</x:f>
        <x:v>0.000056999999999999996</x:v>
      </x:c>
      <x:c r="N72" s="49" t="n">
        <x:f>IF(C72="ampoule verre",$E$12,IF(C72="poche PEA",$E$13,$E$11))</x:f>
        <x:v>20</x:v>
      </x:c>
      <x:c r="O72" s="49" t="n">
        <x:f>IF(C72="ampoule verre",$E$8,IF(C72="poche PEA",$E$9,$E$7))</x:f>
        <x:v>4.2</x:v>
      </x:c>
      <x:c r="P72" s="49" t="n">
        <x:f>N72/1000*O72*(1+$E$5/100)</x:f>
        <x:v>0.08820000000000001</x:v>
      </x:c>
      <x:c r="Q72" s="49" t="n">
        <x:f>$E$14</x:f>
        <x:v>3</x:v>
      </x:c>
      <x:c r="R72" s="49" t="n">
        <x:f>Q72/1000*$E$10</x:f>
        <x:v>0.00348</x:v>
      </x:c>
      <x:c r="S72" s="49" t="n">
        <x:f>IF(J72="","",SUM(L72:M72,P72,R72))</x:f>
        <x:v>0.15473700000000004</x:v>
      </x:c>
      <x:c r="T72" s="49" t="str">
        <x:f>IF(OR(J72="",K72=$E$4),"Élevé - FE PA générique",IF(W72&lt;&gt;"","À vérifier","Moyen"))</x:f>
        <x:v>Élevé - FE PA générique</x:v>
      </x:c>
      <x:c r="U72" s="49" t="str">
        <x:v>Breaking Stab</x:v>
      </x:c>
      <x:c r="V72" s="49" t="str">
        <x:v>EcovaMED v0.7 + hypothèses internes explicites</x:v>
      </x:c>
      <x:c r="W72" s="49" t="str">
        <x:v>Présentation prêt-à-l’emploi : le conditionnement primaire réel doit être remplacé par le poids fournisseur si disponible.</x:v>
      </x:c>
      <x:c r="X72" t="str">
        <x:f>IF(A72="","",IF(OR(ISNUMBER(SEARCH("poche",C72)),ISNUMBER(SEARCH("ampoule",C72)),ISNUMBER(SEARCH("plastique",C72))),"Prêt à être dilué / administré (hypothèse)","Reconstitution nécessaire (hypothèse)"))</x:f>
        <x:v>Prêt à être dilué / administré (hypothèse)</x:v>
      </x:c>
      <x:c r="Y72" t="str">
        <x:f>IF(A72="","",IF(ISNUMBER(SEARCH("Reconstitution",X72)),"Flacon/poudre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72" t="n">
        <x:f>IF(A72="","",IF(ISNUMBER(SEARCH("Reconstitution",X72)),1,0))</x:f>
        <x:v>0</x:v>
      </x:c>
      <x:c r="AA72" t="str">
        <x:f>IF(Z72&gt;0,"SERINGUE_PP_24ML","")</x:f>
      </x:c>
      <x:c r="AB72" s="48" t="n">
        <x:f>IF(Z72&gt;0,Z72*VLOOKUP(AA72,FACTEURS_ITEMS!$A$3:$J$30,4,FALSE),0)</x:f>
        <x:v>0</x:v>
      </x:c>
      <x:c r="AC72" t="n">
        <x:f>IF(A72="","",IF(ISNUMBER(SEARCH("Reconstitution",X72)),1,0))</x:f>
        <x:v>0</x:v>
      </x:c>
      <x:c r="AD72" t="str">
        <x:f>IF(AC72&gt;0,"AIGUILLE_RECONSTITUTION","")</x:f>
      </x:c>
      <x:c r="AE72" s="48" t="n">
        <x:f>IF(AC72&gt;0,AC72*VLOOKUP(AD72,FACTEURS_ITEMS!$A$3:$J$30,4,FALSE),0)</x:f>
        <x:v>0</x:v>
      </x:c>
      <x:c r="AF72" s="48" t="n">
        <x:f>IF(A72="","",AB72+AE72)</x:f>
        <x:v>0</x:v>
      </x:c>
      <x:c r="AG72" s="48" t="n">
        <x:f>IF(A72="","",S72+AF72)</x:f>
        <x:v>0.15473700000000004</x:v>
      </x:c>
      <x:c r="AH72" t="str">
        <x:f>IF(A72="","",IF(AF72&gt;0,"ACV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73">
      <x:c r="A73" s="49" t="str">
        <x:v>Méropénem</x:v>
      </x:c>
      <x:c r="B73" s="49" t="str">
        <x:v>Flacon 500 mg</x:v>
      </x:c>
      <x:c r="C73" s="49" t="str">
        <x:v>flacon verre</x:v>
      </x:c>
      <x:c r="D73" s="49" t="str">
        <x:v>Méropénem</x:v>
      </x:c>
      <x:c r="E73" s="49" t="n">
        <x:v>500</x:v>
      </x:c>
      <x:c r="F73" s="49" t="str"/>
      <x:c r="G73" s="49"/>
      <x:c r="H73" s="49" t="str"/>
      <x:c r="I73" s="49"/>
      <x:c r="J73" s="49" t="n">
        <x:f>IFERROR(SUM(E73,G73,I73)/1000,"")</x:f>
        <x:v>0.5</x:v>
      </x:c>
      <x:c r="K73" s="49" t="n">
        <x:f>$E$4</x:f>
        <x:v>100</x:v>
      </x:c>
      <x:c r="L73" s="49" t="n">
        <x:f>IF(J73="","",J73/1000*K73*(1+$E$5/100))</x:f>
        <x:v>0.052500000000000005</x:v>
      </x:c>
      <x:c r="M73" s="49" t="n">
        <x:f>IF(J73="","",J73/1000*$E$6)</x:f>
        <x:v>0.0000475</x:v>
      </x:c>
      <x:c r="N73" s="49" t="n">
        <x:f>IF(C73="ampoule verre",$E$12,IF(C73="poche PEA",$E$13,$E$11))</x:f>
        <x:v>10</x:v>
      </x:c>
      <x:c r="O73" s="49" t="n">
        <x:f>IF(C73="ampoule verre",$E$8,IF(C73="poche PEA",$E$9,$E$7))</x:f>
        <x:v>7.1</x:v>
      </x:c>
      <x:c r="P73" s="49" t="n">
        <x:f>N73/1000*O73*(1+$E$5/100)</x:f>
        <x:v>0.07454999999999999</x:v>
      </x:c>
      <x:c r="Q73" s="49" t="n">
        <x:f>$E$14</x:f>
        <x:v>3</x:v>
      </x:c>
      <x:c r="R73" s="49" t="n">
        <x:f>Q73/1000*$E$10</x:f>
        <x:v>0.00348</x:v>
      </x:c>
      <x:c r="S73" s="49" t="n">
        <x:f>IF(J73="","",SUM(L73:M73,P73,R73))</x:f>
        <x:v>0.1305775</x:v>
      </x:c>
      <x:c r="T73" s="49" t="str">
        <x:f>IF(OR(J73="",K73=$E$4),"Élevé - FE PA générique",IF(W73&lt;&gt;"","À vérifier","Moyen"))</x:f>
        <x:v>Élevé - FE PA générique</x:v>
      </x:c>
      <x:c r="U73" s="49" t="str">
        <x:v>Breaking Stab</x:v>
      </x:c>
      <x:c r="V73" s="49" t="str">
        <x:v>EcovaMED v0.7 + hypothèses internes explicites</x:v>
      </x:c>
      <x:c r="W73" s="49" t="str"/>
      <x:c r="X73" t="str">
        <x:f>IF(A73="","",IF(OR(ISNUMBER(SEARCH("poche",C73)),ISNUMBER(SEARCH("ampoule",C73)),ISNUMBER(SEARCH("plastique",C73))),"Prêt à être dilué / administré (hypothèse)","Reconstitution nécessaire (hypothèse)"))</x:f>
        <x:v>Reconstitution nécessaire (hypothèse)</x:v>
      </x:c>
      <x:c r="Y73" t="str">
        <x:f>IF(A73="","",IF(ISNUMBER(SEARCH("Reconstitution",X73)),"Flacon/poudre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3" t="n">
        <x:f>IF(A73="","",IF(ISNUMBER(SEARCH("Reconstitution",X73)),1,0))</x:f>
        <x:v>1</x:v>
      </x:c>
      <x:c r="AA73" t="str">
        <x:f>IF(Z73&gt;0,"SERINGUE_PP_24ML","")</x:f>
        <x:v>SERINGUE_PP_24ML</x:v>
      </x:c>
      <x:c r="AB73" s="48" t="n">
        <x:f>IF(Z73&gt;0,Z73*VLOOKUP(AA73,FACTEURS_ITEMS!$A$3:$J$30,4,FALSE),0)</x:f>
        <x:v>0.069</x:v>
      </x:c>
      <x:c r="AC73" t="n">
        <x:f>IF(A73="","",IF(ISNUMBER(SEARCH("Reconstitution",X73)),1,0))</x:f>
        <x:v>1</x:v>
      </x:c>
      <x:c r="AD73" t="str">
        <x:f>IF(AC73&gt;0,"AIGUILLE_RECONSTITUTION","")</x:f>
        <x:v>AIGUILLE_RECONSTITUTION</x:v>
      </x:c>
      <x:c r="AE73" s="48" t="n">
        <x:f>IF(AC73&gt;0,AC73*VLOOKUP(AD73,FACTEURS_ITEMS!$A$3:$J$30,4,FALSE),0)</x:f>
        <x:v>0.01</x:v>
      </x:c>
      <x:c r="AF73" s="48" t="n">
        <x:f>IF(A73="","",AB73+AE73)</x:f>
        <x:v>0.079</x:v>
      </x:c>
      <x:c r="AG73" s="48" t="n">
        <x:f>IF(A73="","",S73+AF73)</x:f>
        <x:v>0.20957750000000003</x:v>
      </x:c>
      <x:c r="AH73" t="str">
        <x:f>IF(A73="","",IF(AF73&gt;0,"ACV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4">
      <x:c r="A74" s="49" t="str">
        <x:v>Méropénem</x:v>
      </x:c>
      <x:c r="B74" s="49" t="str">
        <x:v>Flacon 1 g</x:v>
      </x:c>
      <x:c r="C74" s="49" t="str">
        <x:v>flacon verre</x:v>
      </x:c>
      <x:c r="D74" s="49" t="str">
        <x:v>Méropénem</x:v>
      </x:c>
      <x:c r="E74" s="49" t="n">
        <x:v>1000</x:v>
      </x:c>
      <x:c r="F74" s="49" t="str"/>
      <x:c r="G74" s="49"/>
      <x:c r="H74" s="49" t="str"/>
      <x:c r="I74" s="49"/>
      <x:c r="J74" s="49" t="n">
        <x:f>IFERROR(SUM(E74,G74,I74)/1000,"")</x:f>
        <x:v>1</x:v>
      </x:c>
      <x:c r="K74" s="49" t="n">
        <x:f>$E$4</x:f>
        <x:v>100</x:v>
      </x:c>
      <x:c r="L74" s="49" t="n">
        <x:f>IF(J74="","",J74/1000*K74*(1+$E$5/100))</x:f>
        <x:v>0.10500000000000001</x:v>
      </x:c>
      <x:c r="M74" s="49" t="n">
        <x:f>IF(J74="","",J74/1000*$E$6)</x:f>
        <x:v>0.000095</x:v>
      </x:c>
      <x:c r="N74" s="49" t="n">
        <x:f>IF(C74="ampoule verre",$E$12,IF(C74="poche PEA",$E$13,$E$11))</x:f>
        <x:v>10</x:v>
      </x:c>
      <x:c r="O74" s="49" t="n">
        <x:f>IF(C74="ampoule verre",$E$8,IF(C74="poche PEA",$E$9,$E$7))</x:f>
        <x:v>7.1</x:v>
      </x:c>
      <x:c r="P74" s="49" t="n">
        <x:f>N74/1000*O74*(1+$E$5/100)</x:f>
        <x:v>0.07454999999999999</x:v>
      </x:c>
      <x:c r="Q74" s="49" t="n">
        <x:f>$E$14</x:f>
        <x:v>3</x:v>
      </x:c>
      <x:c r="R74" s="49" t="n">
        <x:f>Q74/1000*$E$10</x:f>
        <x:v>0.00348</x:v>
      </x:c>
      <x:c r="S74" s="49" t="n">
        <x:f>IF(J74="","",SUM(L74:M74,P74,R74))</x:f>
        <x:v>0.183125</x:v>
      </x:c>
      <x:c r="T74" s="49" t="str">
        <x:f>IF(OR(J74="",K74=$E$4),"Élevé - FE PA générique",IF(W74&lt;&gt;"","À vérifier","Moyen"))</x:f>
        <x:v>Élevé - FE PA générique</x:v>
      </x:c>
      <x:c r="U74" s="49" t="str">
        <x:v>Breaking Stab</x:v>
      </x:c>
      <x:c r="V74" s="49" t="str">
        <x:v>EcovaMED v0.7 + hypothèses internes explicites</x:v>
      </x:c>
      <x:c r="W74" s="49" t="str"/>
      <x:c r="X74" t="str">
        <x:f>IF(A74="","",IF(OR(ISNUMBER(SEARCH("poche",C74)),ISNUMBER(SEARCH("ampoule",C74)),ISNUMBER(SEARCH("plastique",C74))),"Prêt à être dilué / administré (hypothèse)","Reconstitution nécessaire (hypothèse)"))</x:f>
        <x:v>Reconstitution nécessaire (hypothèse)</x:v>
      </x:c>
      <x:c r="Y74" t="str">
        <x:f>IF(A74="","",IF(ISNUMBER(SEARCH("Reconstitution",X74)),"Flacon/poudre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4" t="n">
        <x:f>IF(A74="","",IF(ISNUMBER(SEARCH("Reconstitution",X74)),1,0))</x:f>
        <x:v>1</x:v>
      </x:c>
      <x:c r="AA74" t="str">
        <x:f>IF(Z74&gt;0,"SERINGUE_PP_24ML","")</x:f>
        <x:v>SERINGUE_PP_24ML</x:v>
      </x:c>
      <x:c r="AB74" s="48" t="n">
        <x:f>IF(Z74&gt;0,Z74*VLOOKUP(AA74,FACTEURS_ITEMS!$A$3:$J$30,4,FALSE),0)</x:f>
        <x:v>0.069</x:v>
      </x:c>
      <x:c r="AC74" t="n">
        <x:f>IF(A74="","",IF(ISNUMBER(SEARCH("Reconstitution",X74)),1,0))</x:f>
        <x:v>1</x:v>
      </x:c>
      <x:c r="AD74" t="str">
        <x:f>IF(AC74&gt;0,"AIGUILLE_RECONSTITUTION","")</x:f>
        <x:v>AIGUILLE_RECONSTITUTION</x:v>
      </x:c>
      <x:c r="AE74" s="48" t="n">
        <x:f>IF(AC74&gt;0,AC74*VLOOKUP(AD74,FACTEURS_ITEMS!$A$3:$J$30,4,FALSE),0)</x:f>
        <x:v>0.01</x:v>
      </x:c>
      <x:c r="AF74" s="48" t="n">
        <x:f>IF(A74="","",AB74+AE74)</x:f>
        <x:v>0.079</x:v>
      </x:c>
      <x:c r="AG74" s="48" t="n">
        <x:f>IF(A74="","",S74+AF74)</x:f>
        <x:v>0.262125</x:v>
      </x:c>
      <x:c r="AH74" t="str">
        <x:f>IF(A74="","",IF(AF74&gt;0,"ACV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5">
      <x:c r="A75" s="49" t="str">
        <x:v>Méropénem</x:v>
      </x:c>
      <x:c r="B75" s="49" t="str">
        <x:v>Flacon 2 g</x:v>
      </x:c>
      <x:c r="C75" s="49" t="str">
        <x:v>flacon verre</x:v>
      </x:c>
      <x:c r="D75" s="49" t="str">
        <x:v>Méropénem</x:v>
      </x:c>
      <x:c r="E75" s="49" t="n">
        <x:v>2000</x:v>
      </x:c>
      <x:c r="F75" s="49" t="str"/>
      <x:c r="G75" s="49"/>
      <x:c r="H75" s="49" t="str"/>
      <x:c r="I75" s="49"/>
      <x:c r="J75" s="49" t="n">
        <x:f>IFERROR(SUM(E75,G75,I75)/1000,"")</x:f>
        <x:v>2</x:v>
      </x:c>
      <x:c r="K75" s="49" t="n">
        <x:f>$E$4</x:f>
        <x:v>100</x:v>
      </x:c>
      <x:c r="L75" s="49" t="n">
        <x:f>IF(J75="","",J75/1000*K75*(1+$E$5/100))</x:f>
        <x:v>0.21000000000000002</x:v>
      </x:c>
      <x:c r="M75" s="49" t="n">
        <x:f>IF(J75="","",J75/1000*$E$6)</x:f>
        <x:v>0.00019</x:v>
      </x:c>
      <x:c r="N75" s="49" t="n">
        <x:f>IF(C75="ampoule verre",$E$12,IF(C75="poche PEA",$E$13,$E$11))</x:f>
        <x:v>10</x:v>
      </x:c>
      <x:c r="O75" s="49" t="n">
        <x:f>IF(C75="ampoule verre",$E$8,IF(C75="poche PEA",$E$9,$E$7))</x:f>
        <x:v>7.1</x:v>
      </x:c>
      <x:c r="P75" s="49" t="n">
        <x:f>N75/1000*O75*(1+$E$5/100)</x:f>
        <x:v>0.07454999999999999</x:v>
      </x:c>
      <x:c r="Q75" s="49" t="n">
        <x:f>$E$14</x:f>
        <x:v>3</x:v>
      </x:c>
      <x:c r="R75" s="49" t="n">
        <x:f>Q75/1000*$E$10</x:f>
        <x:v>0.00348</x:v>
      </x:c>
      <x:c r="S75" s="49" t="n">
        <x:f>IF(J75="","",SUM(L75:M75,P75,R75))</x:f>
        <x:v>0.28822</x:v>
      </x:c>
      <x:c r="T75" s="49" t="str">
        <x:f>IF(OR(J75="",K75=$E$4),"Élevé - FE PA générique",IF(W75&lt;&gt;"","À vérifier","Moyen"))</x:f>
        <x:v>Élevé - FE PA générique</x:v>
      </x:c>
      <x:c r="U75" s="49" t="str">
        <x:v>Breaking Stab</x:v>
      </x:c>
      <x:c r="V75" s="49" t="str">
        <x:v>EcovaMED v0.7 + hypothèses internes explicites</x:v>
      </x:c>
      <x:c r="W75" s="49" t="str"/>
      <x:c r="X75" t="str">
        <x:f>IF(A75="","",IF(OR(ISNUMBER(SEARCH("poche",C75)),ISNUMBER(SEARCH("ampoule",C75)),ISNUMBER(SEARCH("plastique",C75))),"Prêt à être dilué / administré (hypothèse)","Reconstitution nécessaire (hypothèse)"))</x:f>
        <x:v>Reconstitution nécessaire (hypothèse)</x:v>
      </x:c>
      <x:c r="Y75" t="str">
        <x:f>IF(A75="","",IF(ISNUMBER(SEARCH("Reconstitution",X75)),"Flacon/poudre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5" t="n">
        <x:f>IF(A75="","",IF(ISNUMBER(SEARCH("Reconstitution",X75)),1,0))</x:f>
        <x:v>1</x:v>
      </x:c>
      <x:c r="AA75" t="str">
        <x:f>IF(Z75&gt;0,"SERINGUE_PP_24ML","")</x:f>
        <x:v>SERINGUE_PP_24ML</x:v>
      </x:c>
      <x:c r="AB75" s="48" t="n">
        <x:f>IF(Z75&gt;0,Z75*VLOOKUP(AA75,FACTEURS_ITEMS!$A$3:$J$30,4,FALSE),0)</x:f>
        <x:v>0.069</x:v>
      </x:c>
      <x:c r="AC75" t="n">
        <x:f>IF(A75="","",IF(ISNUMBER(SEARCH("Reconstitution",X75)),1,0))</x:f>
        <x:v>1</x:v>
      </x:c>
      <x:c r="AD75" t="str">
        <x:f>IF(AC75&gt;0,"AIGUILLE_RECONSTITUTION","")</x:f>
        <x:v>AIGUILLE_RECONSTITUTION</x:v>
      </x:c>
      <x:c r="AE75" s="48" t="n">
        <x:f>IF(AC75&gt;0,AC75*VLOOKUP(AD75,FACTEURS_ITEMS!$A$3:$J$30,4,FALSE),0)</x:f>
        <x:v>0.01</x:v>
      </x:c>
      <x:c r="AF75" s="48" t="n">
        <x:f>IF(A75="","",AB75+AE75)</x:f>
        <x:v>0.079</x:v>
      </x:c>
      <x:c r="AG75" s="48" t="n">
        <x:f>IF(A75="","",S75+AF75)</x:f>
        <x:v>0.36722</x:v>
      </x:c>
      <x:c r="AH75" t="str">
        <x:f>IF(A75="","",IF(AF75&gt;0,"ACV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6">
      <x:c r="A76" s="49" t="str">
        <x:v>Méropénem/vaborbactam</x:v>
      </x:c>
      <x:c r="B76" s="49" t="str">
        <x:v>Flacon 1 g/1 g</x:v>
      </x:c>
      <x:c r="C76" s="49" t="str">
        <x:v>flacon verre</x:v>
      </x:c>
      <x:c r="D76" s="49" t="str">
        <x:v>Méropénem</x:v>
      </x:c>
      <x:c r="E76" s="49" t="n">
        <x:v>1000</x:v>
      </x:c>
      <x:c r="F76" s="49" t="str">
        <x:v>Vaborbactam</x:v>
      </x:c>
      <x:c r="G76" s="49" t="n">
        <x:v>1000</x:v>
      </x:c>
      <x:c r="H76" s="49" t="str"/>
      <x:c r="I76" s="49"/>
      <x:c r="J76" s="49" t="n">
        <x:f>IFERROR(SUM(E76,G76,I76)/1000,"")</x:f>
        <x:v>2</x:v>
      </x:c>
      <x:c r="K76" s="49" t="n">
        <x:f>$E$4</x:f>
        <x:v>100</x:v>
      </x:c>
      <x:c r="L76" s="49" t="n">
        <x:f>IF(J76="","",J76/1000*K76*(1+$E$5/100))</x:f>
        <x:v>0.21000000000000002</x:v>
      </x:c>
      <x:c r="M76" s="49" t="n">
        <x:f>IF(J76="","",J76/1000*$E$6)</x:f>
        <x:v>0.00019</x:v>
      </x:c>
      <x:c r="N76" s="49" t="n">
        <x:f>IF(C76="ampoule verre",$E$12,IF(C76="poche PEA",$E$13,$E$11))</x:f>
        <x:v>10</x:v>
      </x:c>
      <x:c r="O76" s="49" t="n">
        <x:f>IF(C76="ampoule verre",$E$8,IF(C76="poche PEA",$E$9,$E$7))</x:f>
        <x:v>7.1</x:v>
      </x:c>
      <x:c r="P76" s="49" t="n">
        <x:f>N76/1000*O76*(1+$E$5/100)</x:f>
        <x:v>0.07454999999999999</x:v>
      </x:c>
      <x:c r="Q76" s="49" t="n">
        <x:f>$E$14</x:f>
        <x:v>3</x:v>
      </x:c>
      <x:c r="R76" s="49" t="n">
        <x:f>Q76/1000*$E$10</x:f>
        <x:v>0.00348</x:v>
      </x:c>
      <x:c r="S76" s="49" t="n">
        <x:f>IF(J76="","",SUM(L76:M76,P76,R76))</x:f>
        <x:v>0.28822</x:v>
      </x:c>
      <x:c r="T76" s="49" t="str">
        <x:f>IF(OR(J76="",K76=$E$4),"Élevé - FE PA générique",IF(W76&lt;&gt;"","À vérifier","Moyen"))</x:f>
        <x:v>Élevé - FE PA générique</x:v>
      </x:c>
      <x:c r="U76" s="49" t="str">
        <x:v>CHICAS/Breaking Stab</x:v>
      </x:c>
      <x:c r="V76" s="49" t="str">
        <x:v>EcovaMED v0.7 + hypothèses internes explicites</x:v>
      </x:c>
      <x:c r="W76" s="49" t="str"/>
      <x:c r="X76" t="str">
        <x:f>IF(A76="","",IF(OR(ISNUMBER(SEARCH("poche",C76)),ISNUMBER(SEARCH("ampoule",C76)),ISNUMBER(SEARCH("plastique",C76))),"Prêt à être dilué / administré (hypothèse)","Reconstitution nécessaire (hypothèse)"))</x:f>
        <x:v>Reconstitution nécessaire (hypothèse)</x:v>
      </x:c>
      <x:c r="Y76" t="str">
        <x:f>IF(A76="","",IF(ISNUMBER(SEARCH("Reconstitution",X76)),"Flacon/poudre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6" t="n">
        <x:f>IF(A76="","",IF(ISNUMBER(SEARCH("Reconstitution",X76)),1,0))</x:f>
        <x:v>1</x:v>
      </x:c>
      <x:c r="AA76" t="str">
        <x:f>IF(Z76&gt;0,"SERINGUE_PP_24ML","")</x:f>
        <x:v>SERINGUE_PP_24ML</x:v>
      </x:c>
      <x:c r="AB76" s="48" t="n">
        <x:f>IF(Z76&gt;0,Z76*VLOOKUP(AA76,FACTEURS_ITEMS!$A$3:$J$30,4,FALSE),0)</x:f>
        <x:v>0.069</x:v>
      </x:c>
      <x:c r="AC76" t="n">
        <x:f>IF(A76="","",IF(ISNUMBER(SEARCH("Reconstitution",X76)),1,0))</x:f>
        <x:v>1</x:v>
      </x:c>
      <x:c r="AD76" t="str">
        <x:f>IF(AC76&gt;0,"AIGUILLE_RECONSTITUTION","")</x:f>
        <x:v>AIGUILLE_RECONSTITUTION</x:v>
      </x:c>
      <x:c r="AE76" s="48" t="n">
        <x:f>IF(AC76&gt;0,AC76*VLOOKUP(AD76,FACTEURS_ITEMS!$A$3:$J$30,4,FALSE),0)</x:f>
        <x:v>0.01</x:v>
      </x:c>
      <x:c r="AF76" s="48" t="n">
        <x:f>IF(A76="","",AB76+AE76)</x:f>
        <x:v>0.079</x:v>
      </x:c>
      <x:c r="AG76" s="48" t="n">
        <x:f>IF(A76="","",S76+AF76)</x:f>
        <x:v>0.36722</x:v>
      </x:c>
      <x:c r="AH76" t="str">
        <x:f>IF(A76="","",IF(AF76&gt;0,"ACV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7">
      <x:c r="A77" s="49" t="str">
        <x:v>Métronidazole</x:v>
      </x:c>
      <x:c r="B77" s="49" t="str">
        <x:v>Poche prêt-à-l’emploi 500 mg</x:v>
      </x:c>
      <x:c r="C77" s="49" t="str">
        <x:v>poche PEA</x:v>
      </x:c>
      <x:c r="D77" s="49" t="str">
        <x:v>Métronidazole</x:v>
      </x:c>
      <x:c r="E77" s="49" t="n">
        <x:v>500</x:v>
      </x:c>
      <x:c r="F77" s="49" t="str"/>
      <x:c r="G77" s="49"/>
      <x:c r="H77" s="49" t="str"/>
      <x:c r="I77" s="49"/>
      <x:c r="J77" s="49" t="n">
        <x:f>IFERROR(SUM(E77,G77,I77)/1000,"")</x:f>
        <x:v>0.5</x:v>
      </x:c>
      <x:c r="K77" s="49" t="n">
        <x:f>$E$4</x:f>
        <x:v>100</x:v>
      </x:c>
      <x:c r="L77" s="49" t="n">
        <x:f>IF(J77="","",J77/1000*K77*(1+$E$5/100))</x:f>
        <x:v>0.052500000000000005</x:v>
      </x:c>
      <x:c r="M77" s="49" t="n">
        <x:f>IF(J77="","",J77/1000*$E$6)</x:f>
        <x:v>0.0000475</x:v>
      </x:c>
      <x:c r="N77" s="49" t="n">
        <x:f>IF(C77="ampoule verre",$E$12,IF(C77="poche PEA",$E$13,$E$11))</x:f>
        <x:v>20</x:v>
      </x:c>
      <x:c r="O77" s="49" t="n">
        <x:f>IF(C77="ampoule verre",$E$8,IF(C77="poche PEA",$E$9,$E$7))</x:f>
        <x:v>4.2</x:v>
      </x:c>
      <x:c r="P77" s="49" t="n">
        <x:f>N77/1000*O77*(1+$E$5/100)</x:f>
        <x:v>0.08820000000000001</x:v>
      </x:c>
      <x:c r="Q77" s="49" t="n">
        <x:f>$E$14</x:f>
        <x:v>3</x:v>
      </x:c>
      <x:c r="R77" s="49" t="n">
        <x:f>Q77/1000*$E$10</x:f>
        <x:v>0.00348</x:v>
      </x:c>
      <x:c r="S77" s="49" t="n">
        <x:f>IF(J77="","",SUM(L77:M77,P77,R77))</x:f>
        <x:v>0.14422750000000004</x:v>
      </x:c>
      <x:c r="T77" s="49" t="str">
        <x:f>IF(OR(J77="",K77=$E$4),"Élevé - FE PA générique",IF(W77&lt;&gt;"","À vérifier","Moyen"))</x:f>
        <x:v>Élevé - FE PA générique</x:v>
      </x:c>
      <x:c r="U77" s="49" t="str">
        <x:v>Breaking Stab</x:v>
      </x:c>
      <x:c r="V77" s="49" t="str">
        <x:v>EcovaMED v0.7 + hypothèses internes explicites</x:v>
      </x:c>
      <x:c r="W77" s="49" t="str">
        <x:v>Présentation prêt-à-l’emploi : le conditionnement primaire réel doit être remplacé par le poids fournisseur si disponible.</x:v>
      </x:c>
      <x:c r="X77" t="str">
        <x:f>IF(A77="","",IF(OR(ISNUMBER(SEARCH("poche",C77)),ISNUMBER(SEARCH("ampoule",C77)),ISNUMBER(SEARCH("plastique",C77))),"Prêt à être dilué / administré (hypothèse)","Reconstitution nécessaire (hypothèse)"))</x:f>
        <x:v>Prêt à être dilué / administré (hypothèse)</x:v>
      </x:c>
      <x:c r="Y77" t="str">
        <x:f>IF(A77="","",IF(ISNUMBER(SEARCH("Reconstitution",X77)),"Flacon/poudre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77" t="n">
        <x:f>IF(A77="","",IF(ISNUMBER(SEARCH("Reconstitution",X77)),1,0))</x:f>
        <x:v>0</x:v>
      </x:c>
      <x:c r="AA77" t="str">
        <x:f>IF(Z77&gt;0,"SERINGUE_PP_24ML","")</x:f>
      </x:c>
      <x:c r="AB77" s="48" t="n">
        <x:f>IF(Z77&gt;0,Z77*VLOOKUP(AA77,FACTEURS_ITEMS!$A$3:$J$30,4,FALSE),0)</x:f>
        <x:v>0</x:v>
      </x:c>
      <x:c r="AC77" t="n">
        <x:f>IF(A77="","",IF(ISNUMBER(SEARCH("Reconstitution",X77)),1,0))</x:f>
        <x:v>0</x:v>
      </x:c>
      <x:c r="AD77" t="str">
        <x:f>IF(AC77&gt;0,"AIGUILLE_RECONSTITUTION","")</x:f>
      </x:c>
      <x:c r="AE77" s="48" t="n">
        <x:f>IF(AC77&gt;0,AC77*VLOOKUP(AD77,FACTEURS_ITEMS!$A$3:$J$30,4,FALSE),0)</x:f>
        <x:v>0</x:v>
      </x:c>
      <x:c r="AF77" s="48" t="n">
        <x:f>IF(A77="","",AB77+AE77)</x:f>
        <x:v>0</x:v>
      </x:c>
      <x:c r="AG77" s="48" t="n">
        <x:f>IF(A77="","",S77+AF77)</x:f>
        <x:v>0.14422750000000004</x:v>
      </x:c>
      <x:c r="AH77" t="str">
        <x:f>IF(A77="","",IF(AF77&gt;0,"ACV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78">
      <x:c r="A78" s="49" t="str">
        <x:v>Micafungine</x:v>
      </x:c>
      <x:c r="B78" s="49" t="str">
        <x:v>Flacon 50 mg</x:v>
      </x:c>
      <x:c r="C78" s="49" t="str">
        <x:v>flacon verre</x:v>
      </x:c>
      <x:c r="D78" s="49" t="str">
        <x:v>Micafungine</x:v>
      </x:c>
      <x:c r="E78" s="49" t="n">
        <x:v>50</x:v>
      </x:c>
      <x:c r="F78" s="49" t="str"/>
      <x:c r="G78" s="49"/>
      <x:c r="H78" s="49" t="str"/>
      <x:c r="I78" s="49"/>
      <x:c r="J78" s="49" t="n">
        <x:f>IFERROR(SUM(E78,G78,I78)/1000,"")</x:f>
        <x:v>0.05</x:v>
      </x:c>
      <x:c r="K78" s="49" t="n">
        <x:f>$E$4</x:f>
        <x:v>100</x:v>
      </x:c>
      <x:c r="L78" s="49" t="n">
        <x:f>IF(J78="","",J78/1000*K78*(1+$E$5/100))</x:f>
        <x:v>0.00525</x:v>
      </x:c>
      <x:c r="M78" s="49" t="n">
        <x:f>IF(J78="","",J78/1000*$E$6)</x:f>
        <x:v>0.00000475</x:v>
      </x:c>
      <x:c r="N78" s="49" t="n">
        <x:f>IF(C78="ampoule verre",$E$12,IF(C78="poche PEA",$E$13,$E$11))</x:f>
        <x:v>10</x:v>
      </x:c>
      <x:c r="O78" s="49" t="n">
        <x:f>IF(C78="ampoule verre",$E$8,IF(C78="poche PEA",$E$9,$E$7))</x:f>
        <x:v>7.1</x:v>
      </x:c>
      <x:c r="P78" s="49" t="n">
        <x:f>N78/1000*O78*(1+$E$5/100)</x:f>
        <x:v>0.07454999999999999</x:v>
      </x:c>
      <x:c r="Q78" s="49" t="n">
        <x:f>$E$14</x:f>
        <x:v>3</x:v>
      </x:c>
      <x:c r="R78" s="49" t="n">
        <x:f>Q78/1000*$E$10</x:f>
        <x:v>0.00348</x:v>
      </x:c>
      <x:c r="S78" s="49" t="n">
        <x:f>IF(J78="","",SUM(L78:M78,P78,R78))</x:f>
        <x:v>0.08328474999999999</x:v>
      </x:c>
      <x:c r="T78" s="49" t="str">
        <x:f>IF(OR(J78="",K78=$E$4),"Élevé - FE PA générique",IF(W78&lt;&gt;"","À vérifier","Moyen"))</x:f>
        <x:v>Élevé - FE PA générique</x:v>
      </x:c>
      <x:c r="U78" s="49" t="str">
        <x:v>Breaking Stab</x:v>
      </x:c>
      <x:c r="V78" s="49" t="str">
        <x:v>EcovaMED v0.7 + hypothèses internes explicites</x:v>
      </x:c>
      <x:c r="W78" s="49" t="str"/>
      <x:c r="X78" t="str">
        <x:f>IF(A78="","",IF(OR(ISNUMBER(SEARCH("poche",C78)),ISNUMBER(SEARCH("ampoule",C78)),ISNUMBER(SEARCH("plastique",C78))),"Prêt à être dilué / administré (hypothèse)","Reconstitution nécessaire (hypothèse)"))</x:f>
        <x:v>Reconstitution nécessaire (hypothèse)</x:v>
      </x:c>
      <x:c r="Y78" t="str">
        <x:f>IF(A78="","",IF(ISNUMBER(SEARCH("Reconstitution",X78)),"Flacon/poudre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8" t="n">
        <x:f>IF(A78="","",IF(ISNUMBER(SEARCH("Reconstitution",X78)),1,0))</x:f>
        <x:v>1</x:v>
      </x:c>
      <x:c r="AA78" t="str">
        <x:f>IF(Z78&gt;0,"SERINGUE_PP_24ML","")</x:f>
        <x:v>SERINGUE_PP_24ML</x:v>
      </x:c>
      <x:c r="AB78" s="48" t="n">
        <x:f>IF(Z78&gt;0,Z78*VLOOKUP(AA78,FACTEURS_ITEMS!$A$3:$J$30,4,FALSE),0)</x:f>
        <x:v>0.069</x:v>
      </x:c>
      <x:c r="AC78" t="n">
        <x:f>IF(A78="","",IF(ISNUMBER(SEARCH("Reconstitution",X78)),1,0))</x:f>
        <x:v>1</x:v>
      </x:c>
      <x:c r="AD78" t="str">
        <x:f>IF(AC78&gt;0,"AIGUILLE_RECONSTITUTION","")</x:f>
        <x:v>AIGUILLE_RECONSTITUTION</x:v>
      </x:c>
      <x:c r="AE78" s="48" t="n">
        <x:f>IF(AC78&gt;0,AC78*VLOOKUP(AD78,FACTEURS_ITEMS!$A$3:$J$30,4,FALSE),0)</x:f>
        <x:v>0.01</x:v>
      </x:c>
      <x:c r="AF78" s="48" t="n">
        <x:f>IF(A78="","",AB78+AE78)</x:f>
        <x:v>0.079</x:v>
      </x:c>
      <x:c r="AG78" s="48" t="n">
        <x:f>IF(A78="","",S78+AF78)</x:f>
        <x:v>0.16228474999999998</x:v>
      </x:c>
      <x:c r="AH78" t="str">
        <x:f>IF(A78="","",IF(AF78&gt;0,"ACV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9">
      <x:c r="A79" s="49" t="str">
        <x:v>Micafungine</x:v>
      </x:c>
      <x:c r="B79" s="49" t="str">
        <x:v>Flacon 100 mg</x:v>
      </x:c>
      <x:c r="C79" s="49" t="str">
        <x:v>flacon verre</x:v>
      </x:c>
      <x:c r="D79" s="49" t="str">
        <x:v>Micafungine</x:v>
      </x:c>
      <x:c r="E79" s="49" t="n">
        <x:v>100</x:v>
      </x:c>
      <x:c r="F79" s="49" t="str"/>
      <x:c r="G79" s="49"/>
      <x:c r="H79" s="49" t="str"/>
      <x:c r="I79" s="49"/>
      <x:c r="J79" s="49" t="n">
        <x:f>IFERROR(SUM(E79,G79,I79)/1000,"")</x:f>
        <x:v>0.1</x:v>
      </x:c>
      <x:c r="K79" s="49" t="n">
        <x:f>$E$4</x:f>
        <x:v>100</x:v>
      </x:c>
      <x:c r="L79" s="49" t="n">
        <x:f>IF(J79="","",J79/1000*K79*(1+$E$5/100))</x:f>
        <x:v>0.0105</x:v>
      </x:c>
      <x:c r="M79" s="49" t="n">
        <x:f>IF(J79="","",J79/1000*$E$6)</x:f>
        <x:v>0.0000095</x:v>
      </x:c>
      <x:c r="N79" s="49" t="n">
        <x:f>IF(C79="ampoule verre",$E$12,IF(C79="poche PEA",$E$13,$E$11))</x:f>
        <x:v>10</x:v>
      </x:c>
      <x:c r="O79" s="49" t="n">
        <x:f>IF(C79="ampoule verre",$E$8,IF(C79="poche PEA",$E$9,$E$7))</x:f>
        <x:v>7.1</x:v>
      </x:c>
      <x:c r="P79" s="49" t="n">
        <x:f>N79/1000*O79*(1+$E$5/100)</x:f>
        <x:v>0.07454999999999999</x:v>
      </x:c>
      <x:c r="Q79" s="49" t="n">
        <x:f>$E$14</x:f>
        <x:v>3</x:v>
      </x:c>
      <x:c r="R79" s="49" t="n">
        <x:f>Q79/1000*$E$10</x:f>
        <x:v>0.00348</x:v>
      </x:c>
      <x:c r="S79" s="49" t="n">
        <x:f>IF(J79="","",SUM(L79:M79,P79,R79))</x:f>
        <x:v>0.0885395</x:v>
      </x:c>
      <x:c r="T79" s="49" t="str">
        <x:f>IF(OR(J79="",K79=$E$4),"Élevé - FE PA générique",IF(W79&lt;&gt;"","À vérifier","Moyen"))</x:f>
        <x:v>Élevé - FE PA générique</x:v>
      </x:c>
      <x:c r="U79" s="49" t="str">
        <x:v>Breaking Stab</x:v>
      </x:c>
      <x:c r="V79" s="49" t="str">
        <x:v>EcovaMED v0.7 + hypothèses internes explicites</x:v>
      </x:c>
      <x:c r="W79" s="49" t="str"/>
      <x:c r="X79" t="str">
        <x:f>IF(A79="","",IF(OR(ISNUMBER(SEARCH("poche",C79)),ISNUMBER(SEARCH("ampoule",C79)),ISNUMBER(SEARCH("plastique",C79))),"Prêt à être dilué / administré (hypothèse)","Reconstitution nécessaire (hypothèse)"))</x:f>
        <x:v>Reconstitution nécessaire (hypothèse)</x:v>
      </x:c>
      <x:c r="Y79" t="str">
        <x:f>IF(A79="","",IF(ISNUMBER(SEARCH("Reconstitution",X79)),"Flacon/poudre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9" t="n">
        <x:f>IF(A79="","",IF(ISNUMBER(SEARCH("Reconstitution",X79)),1,0))</x:f>
        <x:v>1</x:v>
      </x:c>
      <x:c r="AA79" t="str">
        <x:f>IF(Z79&gt;0,"SERINGUE_PP_24ML","")</x:f>
        <x:v>SERINGUE_PP_24ML</x:v>
      </x:c>
      <x:c r="AB79" s="48" t="n">
        <x:f>IF(Z79&gt;0,Z79*VLOOKUP(AA79,FACTEURS_ITEMS!$A$3:$J$30,4,FALSE),0)</x:f>
        <x:v>0.069</x:v>
      </x:c>
      <x:c r="AC79" t="n">
        <x:f>IF(A79="","",IF(ISNUMBER(SEARCH("Reconstitution",X79)),1,0))</x:f>
        <x:v>1</x:v>
      </x:c>
      <x:c r="AD79" t="str">
        <x:f>IF(AC79&gt;0,"AIGUILLE_RECONSTITUTION","")</x:f>
        <x:v>AIGUILLE_RECONSTITUTION</x:v>
      </x:c>
      <x:c r="AE79" s="48" t="n">
        <x:f>IF(AC79&gt;0,AC79*VLOOKUP(AD79,FACTEURS_ITEMS!$A$3:$J$30,4,FALSE),0)</x:f>
        <x:v>0.01</x:v>
      </x:c>
      <x:c r="AF79" s="48" t="n">
        <x:f>IF(A79="","",AB79+AE79)</x:f>
        <x:v>0.079</x:v>
      </x:c>
      <x:c r="AG79" s="48" t="n">
        <x:f>IF(A79="","",S79+AF79)</x:f>
        <x:v>0.1675395</x:v>
      </x:c>
      <x:c r="AH79" t="str">
        <x:f>IF(A79="","",IF(AF79&gt;0,"ACV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0">
      <x:c r="A80" s="49" t="str">
        <x:v>Ofloxacine</x:v>
      </x:c>
      <x:c r="B80" s="49" t="str">
        <x:v>Poche prêt-à-l’emploi 200 mg</x:v>
      </x:c>
      <x:c r="C80" s="49" t="str">
        <x:v>poche PEA</x:v>
      </x:c>
      <x:c r="D80" s="49" t="str">
        <x:v>Ofloxacine</x:v>
      </x:c>
      <x:c r="E80" s="49" t="n">
        <x:v>200</x:v>
      </x:c>
      <x:c r="F80" s="49" t="str"/>
      <x:c r="G80" s="49"/>
      <x:c r="H80" s="49" t="str"/>
      <x:c r="I80" s="49"/>
      <x:c r="J80" s="49" t="n">
        <x:f>IFERROR(SUM(E80,G80,I80)/1000,"")</x:f>
        <x:v>0.2</x:v>
      </x:c>
      <x:c r="K80" s="49" t="n">
        <x:f>$E$4</x:f>
        <x:v>100</x:v>
      </x:c>
      <x:c r="L80" s="49" t="n">
        <x:f>IF(J80="","",J80/1000*K80*(1+$E$5/100))</x:f>
        <x:v>0.021</x:v>
      </x:c>
      <x:c r="M80" s="49" t="n">
        <x:f>IF(J80="","",J80/1000*$E$6)</x:f>
        <x:v>0.000019</x:v>
      </x:c>
      <x:c r="N80" s="49" t="n">
        <x:f>IF(C80="ampoule verre",$E$12,IF(C80="poche PEA",$E$13,$E$11))</x:f>
        <x:v>20</x:v>
      </x:c>
      <x:c r="O80" s="49" t="n">
        <x:f>IF(C80="ampoule verre",$E$8,IF(C80="poche PEA",$E$9,$E$7))</x:f>
        <x:v>4.2</x:v>
      </x:c>
      <x:c r="P80" s="49" t="n">
        <x:f>N80/1000*O80*(1+$E$5/100)</x:f>
        <x:v>0.08820000000000001</x:v>
      </x:c>
      <x:c r="Q80" s="49" t="n">
        <x:f>$E$14</x:f>
        <x:v>3</x:v>
      </x:c>
      <x:c r="R80" s="49" t="n">
        <x:f>Q80/1000*$E$10</x:f>
        <x:v>0.00348</x:v>
      </x:c>
      <x:c r="S80" s="49" t="n">
        <x:f>IF(J80="","",SUM(L80:M80,P80,R80))</x:f>
        <x:v>0.11269900000000001</x:v>
      </x:c>
      <x:c r="T80" s="49" t="str">
        <x:f>IF(OR(J80="",K80=$E$4),"Élevé - FE PA générique",IF(W80&lt;&gt;"","À vérifier","Moyen"))</x:f>
        <x:v>Élevé - FE PA générique</x:v>
      </x:c>
      <x:c r="U80" s="49" t="str">
        <x:v>Breaking Stab</x:v>
      </x:c>
      <x:c r="V80" s="49" t="str">
        <x:v>EcovaMED v0.7 + hypothèses internes explicites</x:v>
      </x:c>
      <x:c r="W80" s="49" t="str">
        <x:v>Présentation prêt-à-l’emploi : le conditionnement primaire réel doit être remplacé par le poids fournisseur si disponible.</x:v>
      </x:c>
      <x:c r="X80" t="str">
        <x:f>IF(A80="","",IF(OR(ISNUMBER(SEARCH("poche",C80)),ISNUMBER(SEARCH("ampoule",C80)),ISNUMBER(SEARCH("plastique",C80))),"Prêt à être dilué / administré (hypothèse)","Reconstitution nécessaire (hypothèse)"))</x:f>
        <x:v>Prêt à être dilué / administré (hypothèse)</x:v>
      </x:c>
      <x:c r="Y80" t="str">
        <x:f>IF(A80="","",IF(ISNUMBER(SEARCH("Reconstitution",X80)),"Flacon/poudre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80" t="n">
        <x:f>IF(A80="","",IF(ISNUMBER(SEARCH("Reconstitution",X80)),1,0))</x:f>
        <x:v>0</x:v>
      </x:c>
      <x:c r="AA80" t="str">
        <x:f>IF(Z80&gt;0,"SERINGUE_PP_24ML","")</x:f>
      </x:c>
      <x:c r="AB80" s="48" t="n">
        <x:f>IF(Z80&gt;0,Z80*VLOOKUP(AA80,FACTEURS_ITEMS!$A$3:$J$30,4,FALSE),0)</x:f>
        <x:v>0</x:v>
      </x:c>
      <x:c r="AC80" t="n">
        <x:f>IF(A80="","",IF(ISNUMBER(SEARCH("Reconstitution",X80)),1,0))</x:f>
        <x:v>0</x:v>
      </x:c>
      <x:c r="AD80" t="str">
        <x:f>IF(AC80&gt;0,"AIGUILLE_RECONSTITUTION","")</x:f>
      </x:c>
      <x:c r="AE80" s="48" t="n">
        <x:f>IF(AC80&gt;0,AC80*VLOOKUP(AD80,FACTEURS_ITEMS!$A$3:$J$30,4,FALSE),0)</x:f>
        <x:v>0</x:v>
      </x:c>
      <x:c r="AF80" s="48" t="n">
        <x:f>IF(A80="","",AB80+AE80)</x:f>
        <x:v>0</x:v>
      </x:c>
      <x:c r="AG80" s="48" t="n">
        <x:f>IF(A80="","",S80+AF80)</x:f>
        <x:v>0.11269900000000001</x:v>
      </x:c>
      <x:c r="AH80" t="str">
        <x:f>IF(A80="","",IF(AF80&gt;0,"ACV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81">
      <x:c r="A81" s="49" t="str">
        <x:v>Oxacilline</x:v>
      </x:c>
      <x:c r="B81" s="49" t="str">
        <x:v>Flacon 1 g</x:v>
      </x:c>
      <x:c r="C81" s="49" t="str">
        <x:v>flacon verre</x:v>
      </x:c>
      <x:c r="D81" s="49" t="str">
        <x:v>Oxacilline</x:v>
      </x:c>
      <x:c r="E81" s="49" t="n">
        <x:v>1000</x:v>
      </x:c>
      <x:c r="F81" s="49" t="str"/>
      <x:c r="G81" s="49"/>
      <x:c r="H81" s="49" t="str"/>
      <x:c r="I81" s="49"/>
      <x:c r="J81" s="49" t="n">
        <x:f>IFERROR(SUM(E81,G81,I81)/1000,"")</x:f>
        <x:v>1</x:v>
      </x:c>
      <x:c r="K81" s="49" t="n">
        <x:f>$E$4</x:f>
        <x:v>100</x:v>
      </x:c>
      <x:c r="L81" s="49" t="n">
        <x:f>IF(J81="","",J81/1000*K81*(1+$E$5/100))</x:f>
        <x:v>0.10500000000000001</x:v>
      </x:c>
      <x:c r="M81" s="49" t="n">
        <x:f>IF(J81="","",J81/1000*$E$6)</x:f>
        <x:v>0.000095</x:v>
      </x:c>
      <x:c r="N81" s="49" t="n">
        <x:f>IF(C81="ampoule verre",$E$12,IF(C81="poche PEA",$E$13,$E$11))</x:f>
        <x:v>10</x:v>
      </x:c>
      <x:c r="O81" s="49" t="n">
        <x:f>IF(C81="ampoule verre",$E$8,IF(C81="poche PEA",$E$9,$E$7))</x:f>
        <x:v>7.1</x:v>
      </x:c>
      <x:c r="P81" s="49" t="n">
        <x:f>N81/1000*O81*(1+$E$5/100)</x:f>
        <x:v>0.07454999999999999</x:v>
      </x:c>
      <x:c r="Q81" s="49" t="n">
        <x:f>$E$14</x:f>
        <x:v>3</x:v>
      </x:c>
      <x:c r="R81" s="49" t="n">
        <x:f>Q81/1000*$E$10</x:f>
        <x:v>0.00348</x:v>
      </x:c>
      <x:c r="S81" s="49" t="n">
        <x:f>IF(J81="","",SUM(L81:M81,P81,R81))</x:f>
        <x:v>0.183125</x:v>
      </x:c>
      <x:c r="T81" s="49" t="str">
        <x:f>IF(OR(J81="",K81=$E$4),"Élevé - FE PA générique",IF(W81&lt;&gt;"","À vérifier","Moyen"))</x:f>
        <x:v>Élevé - FE PA générique</x:v>
      </x:c>
      <x:c r="U81" s="49" t="str">
        <x:v>Micrel/Breaking Stab</x:v>
      </x:c>
      <x:c r="V81" s="49" t="str">
        <x:v>EcovaMED v0.7 + hypothèses internes explicites</x:v>
      </x:c>
      <x:c r="W81" s="49" t="str"/>
      <x:c r="X81" t="str">
        <x:f>IF(A81="","",IF(OR(ISNUMBER(SEARCH("poche",C81)),ISNUMBER(SEARCH("ampoule",C81)),ISNUMBER(SEARCH("plastique",C81))),"Prêt à être dilué / administré (hypothèse)","Reconstitution nécessaire (hypothèse)"))</x:f>
        <x:v>Reconstitution nécessaire (hypothèse)</x:v>
      </x:c>
      <x:c r="Y81" t="str">
        <x:f>IF(A81="","",IF(ISNUMBER(SEARCH("Reconstitution",X81)),"Flacon/poudre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1" t="n">
        <x:f>IF(A81="","",IF(ISNUMBER(SEARCH("Reconstitution",X81)),1,0))</x:f>
        <x:v>1</x:v>
      </x:c>
      <x:c r="AA81" t="str">
        <x:f>IF(Z81&gt;0,"SERINGUE_PP_24ML","")</x:f>
        <x:v>SERINGUE_PP_24ML</x:v>
      </x:c>
      <x:c r="AB81" s="48" t="n">
        <x:f>IF(Z81&gt;0,Z81*VLOOKUP(AA81,FACTEURS_ITEMS!$A$3:$J$30,4,FALSE),0)</x:f>
        <x:v>0.069</x:v>
      </x:c>
      <x:c r="AC81" t="n">
        <x:f>IF(A81="","",IF(ISNUMBER(SEARCH("Reconstitution",X81)),1,0))</x:f>
        <x:v>1</x:v>
      </x:c>
      <x:c r="AD81" t="str">
        <x:f>IF(AC81&gt;0,"AIGUILLE_RECONSTITUTION","")</x:f>
        <x:v>AIGUILLE_RECONSTITUTION</x:v>
      </x:c>
      <x:c r="AE81" s="48" t="n">
        <x:f>IF(AC81&gt;0,AC81*VLOOKUP(AD81,FACTEURS_ITEMS!$A$3:$J$30,4,FALSE),0)</x:f>
        <x:v>0.01</x:v>
      </x:c>
      <x:c r="AF81" s="48" t="n">
        <x:f>IF(A81="","",AB81+AE81)</x:f>
        <x:v>0.079</x:v>
      </x:c>
      <x:c r="AG81" s="48" t="n">
        <x:f>IF(A81="","",S81+AF81)</x:f>
        <x:v>0.262125</x:v>
      </x:c>
      <x:c r="AH81" t="str">
        <x:f>IF(A81="","",IF(AF81&gt;0,"ACV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2">
      <x:c r="A82" s="49" t="str">
        <x:v>Oxacilline</x:v>
      </x:c>
      <x:c r="B82" s="49" t="str">
        <x:v>Flacon 2 g</x:v>
      </x:c>
      <x:c r="C82" s="49" t="str">
        <x:v>flacon verre</x:v>
      </x:c>
      <x:c r="D82" s="49" t="str">
        <x:v>Oxacilline</x:v>
      </x:c>
      <x:c r="E82" s="49" t="n">
        <x:v>2000</x:v>
      </x:c>
      <x:c r="F82" s="49" t="str"/>
      <x:c r="G82" s="49"/>
      <x:c r="H82" s="49" t="str"/>
      <x:c r="I82" s="49"/>
      <x:c r="J82" s="49" t="n">
        <x:f>IFERROR(SUM(E82,G82,I82)/1000,"")</x:f>
        <x:v>2</x:v>
      </x:c>
      <x:c r="K82" s="49" t="n">
        <x:f>$E$4</x:f>
        <x:v>100</x:v>
      </x:c>
      <x:c r="L82" s="49" t="n">
        <x:f>IF(J82="","",J82/1000*K82*(1+$E$5/100))</x:f>
        <x:v>0.21000000000000002</x:v>
      </x:c>
      <x:c r="M82" s="49" t="n">
        <x:f>IF(J82="","",J82/1000*$E$6)</x:f>
        <x:v>0.00019</x:v>
      </x:c>
      <x:c r="N82" s="49" t="n">
        <x:f>IF(C82="ampoule verre",$E$12,IF(C82="poche PEA",$E$13,$E$11))</x:f>
        <x:v>10</x:v>
      </x:c>
      <x:c r="O82" s="49" t="n">
        <x:f>IF(C82="ampoule verre",$E$8,IF(C82="poche PEA",$E$9,$E$7))</x:f>
        <x:v>7.1</x:v>
      </x:c>
      <x:c r="P82" s="49" t="n">
        <x:f>N82/1000*O82*(1+$E$5/100)</x:f>
        <x:v>0.07454999999999999</x:v>
      </x:c>
      <x:c r="Q82" s="49" t="n">
        <x:f>$E$14</x:f>
        <x:v>3</x:v>
      </x:c>
      <x:c r="R82" s="49" t="n">
        <x:f>Q82/1000*$E$10</x:f>
        <x:v>0.00348</x:v>
      </x:c>
      <x:c r="S82" s="49" t="n">
        <x:f>IF(J82="","",SUM(L82:M82,P82,R82))</x:f>
        <x:v>0.28822</x:v>
      </x:c>
      <x:c r="T82" s="49" t="str">
        <x:f>IF(OR(J82="",K82=$E$4),"Élevé - FE PA générique",IF(W82&lt;&gt;"","À vérifier","Moyen"))</x:f>
        <x:v>Élevé - FE PA générique</x:v>
      </x:c>
      <x:c r="U82" s="49" t="str">
        <x:v>Micrel/Breaking Stab</x:v>
      </x:c>
      <x:c r="V82" s="49" t="str">
        <x:v>EcovaMED v0.7 + hypothèses internes explicites</x:v>
      </x:c>
      <x:c r="W82" s="49" t="str"/>
      <x:c r="X82" t="str">
        <x:f>IF(A82="","",IF(OR(ISNUMBER(SEARCH("poche",C82)),ISNUMBER(SEARCH("ampoule",C82)),ISNUMBER(SEARCH("plastique",C82))),"Prêt à être dilué / administré (hypothèse)","Reconstitution nécessaire (hypothèse)"))</x:f>
        <x:v>Reconstitution nécessaire (hypothèse)</x:v>
      </x:c>
      <x:c r="Y82" t="str">
        <x:f>IF(A82="","",IF(ISNUMBER(SEARCH("Reconstitution",X82)),"Flacon/poudre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2" t="n">
        <x:f>IF(A82="","",IF(ISNUMBER(SEARCH("Reconstitution",X82)),1,0))</x:f>
        <x:v>1</x:v>
      </x:c>
      <x:c r="AA82" t="str">
        <x:f>IF(Z82&gt;0,"SERINGUE_PP_24ML","")</x:f>
        <x:v>SERINGUE_PP_24ML</x:v>
      </x:c>
      <x:c r="AB82" s="48" t="n">
        <x:f>IF(Z82&gt;0,Z82*VLOOKUP(AA82,FACTEURS_ITEMS!$A$3:$J$30,4,FALSE),0)</x:f>
        <x:v>0.069</x:v>
      </x:c>
      <x:c r="AC82" t="n">
        <x:f>IF(A82="","",IF(ISNUMBER(SEARCH("Reconstitution",X82)),1,0))</x:f>
        <x:v>1</x:v>
      </x:c>
      <x:c r="AD82" t="str">
        <x:f>IF(AC82&gt;0,"AIGUILLE_RECONSTITUTION","")</x:f>
        <x:v>AIGUILLE_RECONSTITUTION</x:v>
      </x:c>
      <x:c r="AE82" s="48" t="n">
        <x:f>IF(AC82&gt;0,AC82*VLOOKUP(AD82,FACTEURS_ITEMS!$A$3:$J$30,4,FALSE),0)</x:f>
        <x:v>0.01</x:v>
      </x:c>
      <x:c r="AF82" s="48" t="n">
        <x:f>IF(A82="","",AB82+AE82)</x:f>
        <x:v>0.079</x:v>
      </x:c>
      <x:c r="AG82" s="48" t="n">
        <x:f>IF(A82="","",S82+AF82)</x:f>
        <x:v>0.36722</x:v>
      </x:c>
      <x:c r="AH82" t="str">
        <x:f>IF(A82="","",IF(AF82&gt;0,"ACV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3">
      <x:c r="A83" s="49" t="str">
        <x:v>Pipéracilline</x:v>
      </x:c>
      <x:c r="B83" s="49" t="str">
        <x:v>Flacon 2 g</x:v>
      </x:c>
      <x:c r="C83" s="49" t="str">
        <x:v>flacon verre</x:v>
      </x:c>
      <x:c r="D83" s="49" t="str">
        <x:v>Pipéracilline</x:v>
      </x:c>
      <x:c r="E83" s="49" t="n">
        <x:v>2000</x:v>
      </x:c>
      <x:c r="F83" s="49" t="str"/>
      <x:c r="G83" s="49"/>
      <x:c r="H83" s="49" t="str"/>
      <x:c r="I83" s="49"/>
      <x:c r="J83" s="49" t="n">
        <x:f>IFERROR(SUM(E83,G83,I83)/1000,"")</x:f>
        <x:v>2</x:v>
      </x:c>
      <x:c r="K83" s="49" t="n">
        <x:f>$E$4</x:f>
        <x:v>100</x:v>
      </x:c>
      <x:c r="L83" s="49" t="n">
        <x:f>IF(J83="","",J83/1000*K83*(1+$E$5/100))</x:f>
        <x:v>0.21000000000000002</x:v>
      </x:c>
      <x:c r="M83" s="49" t="n">
        <x:f>IF(J83="","",J83/1000*$E$6)</x:f>
        <x:v>0.00019</x:v>
      </x:c>
      <x:c r="N83" s="49" t="n">
        <x:f>IF(C83="ampoule verre",$E$12,IF(C83="poche PEA",$E$13,$E$11))</x:f>
        <x:v>10</x:v>
      </x:c>
      <x:c r="O83" s="49" t="n">
        <x:f>IF(C83="ampoule verre",$E$8,IF(C83="poche PEA",$E$9,$E$7))</x:f>
        <x:v>7.1</x:v>
      </x:c>
      <x:c r="P83" s="49" t="n">
        <x:f>N83/1000*O83*(1+$E$5/100)</x:f>
        <x:v>0.07454999999999999</x:v>
      </x:c>
      <x:c r="Q83" s="49" t="n">
        <x:f>$E$14</x:f>
        <x:v>3</x:v>
      </x:c>
      <x:c r="R83" s="49" t="n">
        <x:f>Q83/1000*$E$10</x:f>
        <x:v>0.00348</x:v>
      </x:c>
      <x:c r="S83" s="49" t="n">
        <x:f>IF(J83="","",SUM(L83:M83,P83,R83))</x:f>
        <x:v>0.28822</x:v>
      </x:c>
      <x:c r="T83" s="49" t="str">
        <x:f>IF(OR(J83="",K83=$E$4),"Élevé - FE PA générique",IF(W83&lt;&gt;"","À vérifier","Moyen"))</x:f>
        <x:v>Élevé - FE PA générique</x:v>
      </x:c>
      <x:c r="U83" s="49" t="str">
        <x:v>Micrel/Breaking Stab</x:v>
      </x:c>
      <x:c r="V83" s="49" t="str">
        <x:v>EcovaMED v0.7 + hypothèses internes explicites</x:v>
      </x:c>
      <x:c r="W83" s="49" t="str"/>
      <x:c r="X83" t="str">
        <x:f>IF(A83="","",IF(OR(ISNUMBER(SEARCH("poche",C83)),ISNUMBER(SEARCH("ampoule",C83)),ISNUMBER(SEARCH("plastique",C83))),"Prêt à être dilué / administré (hypothèse)","Reconstitution nécessaire (hypothèse)"))</x:f>
        <x:v>Reconstitution nécessaire (hypothèse)</x:v>
      </x:c>
      <x:c r="Y83" t="str">
        <x:f>IF(A83="","",IF(ISNUMBER(SEARCH("Reconstitution",X83)),"Flacon/poudre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3" t="n">
        <x:f>IF(A83="","",IF(ISNUMBER(SEARCH("Reconstitution",X83)),1,0))</x:f>
        <x:v>1</x:v>
      </x:c>
      <x:c r="AA83" t="str">
        <x:f>IF(Z83&gt;0,"SERINGUE_PP_24ML","")</x:f>
        <x:v>SERINGUE_PP_24ML</x:v>
      </x:c>
      <x:c r="AB83" s="48" t="n">
        <x:f>IF(Z83&gt;0,Z83*VLOOKUP(AA83,FACTEURS_ITEMS!$A$3:$J$30,4,FALSE),0)</x:f>
        <x:v>0.069</x:v>
      </x:c>
      <x:c r="AC83" t="n">
        <x:f>IF(A83="","",IF(ISNUMBER(SEARCH("Reconstitution",X83)),1,0))</x:f>
        <x:v>1</x:v>
      </x:c>
      <x:c r="AD83" t="str">
        <x:f>IF(AC83&gt;0,"AIGUILLE_RECONSTITUTION","")</x:f>
        <x:v>AIGUILLE_RECONSTITUTION</x:v>
      </x:c>
      <x:c r="AE83" s="48" t="n">
        <x:f>IF(AC83&gt;0,AC83*VLOOKUP(AD83,FACTEURS_ITEMS!$A$3:$J$30,4,FALSE),0)</x:f>
        <x:v>0.01</x:v>
      </x:c>
      <x:c r="AF83" s="48" t="n">
        <x:f>IF(A83="","",AB83+AE83)</x:f>
        <x:v>0.079</x:v>
      </x:c>
      <x:c r="AG83" s="48" t="n">
        <x:f>IF(A83="","",S83+AF83)</x:f>
        <x:v>0.36722</x:v>
      </x:c>
      <x:c r="AH83" t="str">
        <x:f>IF(A83="","",IF(AF83&gt;0,"ACV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4">
      <x:c r="A84" s="49" t="str">
        <x:v>Pipéracilline</x:v>
      </x:c>
      <x:c r="B84" s="49" t="str">
        <x:v>Flacon 4 g</x:v>
      </x:c>
      <x:c r="C84" s="49" t="str">
        <x:v>flacon verre</x:v>
      </x:c>
      <x:c r="D84" s="49" t="str">
        <x:v>Pipéracilline</x:v>
      </x:c>
      <x:c r="E84" s="49" t="n">
        <x:v>4000</x:v>
      </x:c>
      <x:c r="F84" s="49" t="str"/>
      <x:c r="G84" s="49"/>
      <x:c r="H84" s="49" t="str"/>
      <x:c r="I84" s="49"/>
      <x:c r="J84" s="49" t="n">
        <x:f>IFERROR(SUM(E84,G84,I84)/1000,"")</x:f>
        <x:v>4</x:v>
      </x:c>
      <x:c r="K84" s="49" t="n">
        <x:f>$E$4</x:f>
        <x:v>100</x:v>
      </x:c>
      <x:c r="L84" s="49" t="n">
        <x:f>IF(J84="","",J84/1000*K84*(1+$E$5/100))</x:f>
        <x:v>0.42000000000000004</x:v>
      </x:c>
      <x:c r="M84" s="49" t="n">
        <x:f>IF(J84="","",J84/1000*$E$6)</x:f>
        <x:v>0.00038</x:v>
      </x:c>
      <x:c r="N84" s="49" t="n">
        <x:f>IF(C84="ampoule verre",$E$12,IF(C84="poche PEA",$E$13,$E$11))</x:f>
        <x:v>10</x:v>
      </x:c>
      <x:c r="O84" s="49" t="n">
        <x:f>IF(C84="ampoule verre",$E$8,IF(C84="poche PEA",$E$9,$E$7))</x:f>
        <x:v>7.1</x:v>
      </x:c>
      <x:c r="P84" s="49" t="n">
        <x:f>N84/1000*O84*(1+$E$5/100)</x:f>
        <x:v>0.07454999999999999</x:v>
      </x:c>
      <x:c r="Q84" s="49" t="n">
        <x:f>$E$14</x:f>
        <x:v>3</x:v>
      </x:c>
      <x:c r="R84" s="49" t="n">
        <x:f>Q84/1000*$E$10</x:f>
        <x:v>0.00348</x:v>
      </x:c>
      <x:c r="S84" s="49" t="n">
        <x:f>IF(J84="","",SUM(L84:M84,P84,R84))</x:f>
        <x:v>0.49841</x:v>
      </x:c>
      <x:c r="T84" s="49" t="str">
        <x:f>IF(OR(J84="",K84=$E$4),"Élevé - FE PA générique",IF(W84&lt;&gt;"","À vérifier","Moyen"))</x:f>
        <x:v>Élevé - FE PA générique</x:v>
      </x:c>
      <x:c r="U84" s="49" t="str">
        <x:v>Micrel/Breaking Stab</x:v>
      </x:c>
      <x:c r="V84" s="49" t="str">
        <x:v>EcovaMED v0.7 + hypothèses internes explicites</x:v>
      </x:c>
      <x:c r="W84" s="49" t="str"/>
      <x:c r="X84" t="str">
        <x:f>IF(A84="","",IF(OR(ISNUMBER(SEARCH("poche",C84)),ISNUMBER(SEARCH("ampoule",C84)),ISNUMBER(SEARCH("plastique",C84))),"Prêt à être dilué / administré (hypothèse)","Reconstitution nécessaire (hypothèse)"))</x:f>
        <x:v>Reconstitution nécessaire (hypothèse)</x:v>
      </x:c>
      <x:c r="Y84" t="str">
        <x:f>IF(A84="","",IF(ISNUMBER(SEARCH("Reconstitution",X84)),"Flacon/poudre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4" t="n">
        <x:f>IF(A84="","",IF(ISNUMBER(SEARCH("Reconstitution",X84)),1,0))</x:f>
        <x:v>1</x:v>
      </x:c>
      <x:c r="AA84" t="str">
        <x:f>IF(Z84&gt;0,"SERINGUE_PP_24ML","")</x:f>
        <x:v>SERINGUE_PP_24ML</x:v>
      </x:c>
      <x:c r="AB84" s="48" t="n">
        <x:f>IF(Z84&gt;0,Z84*VLOOKUP(AA84,FACTEURS_ITEMS!$A$3:$J$30,4,FALSE),0)</x:f>
        <x:v>0.069</x:v>
      </x:c>
      <x:c r="AC84" t="n">
        <x:f>IF(A84="","",IF(ISNUMBER(SEARCH("Reconstitution",X84)),1,0))</x:f>
        <x:v>1</x:v>
      </x:c>
      <x:c r="AD84" t="str">
        <x:f>IF(AC84&gt;0,"AIGUILLE_RECONSTITUTION","")</x:f>
        <x:v>AIGUILLE_RECONSTITUTION</x:v>
      </x:c>
      <x:c r="AE84" s="48" t="n">
        <x:f>IF(AC84&gt;0,AC84*VLOOKUP(AD84,FACTEURS_ITEMS!$A$3:$J$30,4,FALSE),0)</x:f>
        <x:v>0.01</x:v>
      </x:c>
      <x:c r="AF84" s="48" t="n">
        <x:f>IF(A84="","",AB84+AE84)</x:f>
        <x:v>0.079</x:v>
      </x:c>
      <x:c r="AG84" s="48" t="n">
        <x:f>IF(A84="","",S84+AF84)</x:f>
        <x:v>0.57741</x:v>
      </x:c>
      <x:c r="AH84" t="str">
        <x:f>IF(A84="","",IF(AF84&gt;0,"ACV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5">
      <x:c r="A85" s="49" t="str">
        <x:v>Pipéracilline/tazobactam</x:v>
      </x:c>
      <x:c r="B85" s="49" t="str">
        <x:v>Flacon 2 g/250 mg</x:v>
      </x:c>
      <x:c r="C85" s="49" t="str">
        <x:v>flacon verre</x:v>
      </x:c>
      <x:c r="D85" s="49" t="str">
        <x:v>Pipéracilline</x:v>
      </x:c>
      <x:c r="E85" s="49" t="n">
        <x:v>2000</x:v>
      </x:c>
      <x:c r="F85" s="49" t="str">
        <x:v>Tazobactam</x:v>
      </x:c>
      <x:c r="G85" s="49" t="n">
        <x:v>250</x:v>
      </x:c>
      <x:c r="H85" s="49" t="str"/>
      <x:c r="I85" s="49"/>
      <x:c r="J85" s="49" t="n">
        <x:f>IFERROR(SUM(E85,G85,I85)/1000,"")</x:f>
        <x:v>2.25</x:v>
      </x:c>
      <x:c r="K85" s="49" t="n">
        <x:f>$E$4</x:f>
        <x:v>100</x:v>
      </x:c>
      <x:c r="L85" s="49" t="n">
        <x:f>IF(J85="","",J85/1000*K85*(1+$E$5/100))</x:f>
        <x:v>0.23625</x:v>
      </x:c>
      <x:c r="M85" s="49" t="n">
        <x:f>IF(J85="","",J85/1000*$E$6)</x:f>
        <x:v>0.00021375</x:v>
      </x:c>
      <x:c r="N85" s="49" t="n">
        <x:f>IF(C85="ampoule verre",$E$12,IF(C85="poche PEA",$E$13,$E$11))</x:f>
        <x:v>10</x:v>
      </x:c>
      <x:c r="O85" s="49" t="n">
        <x:f>IF(C85="ampoule verre",$E$8,IF(C85="poche PEA",$E$9,$E$7))</x:f>
        <x:v>7.1</x:v>
      </x:c>
      <x:c r="P85" s="49" t="n">
        <x:f>N85/1000*O85*(1+$E$5/100)</x:f>
        <x:v>0.07454999999999999</x:v>
      </x:c>
      <x:c r="Q85" s="49" t="n">
        <x:f>$E$14</x:f>
        <x:v>3</x:v>
      </x:c>
      <x:c r="R85" s="49" t="n">
        <x:f>Q85/1000*$E$10</x:f>
        <x:v>0.00348</x:v>
      </x:c>
      <x:c r="S85" s="49" t="n">
        <x:f>IF(J85="","",SUM(L85:M85,P85,R85))</x:f>
        <x:v>0.31449374999999996</x:v>
      </x:c>
      <x:c r="T85" s="49" t="str">
        <x:f>IF(OR(J85="",K85=$E$4),"Élevé - FE PA générique",IF(W85&lt;&gt;"","À vérifier","Moyen"))</x:f>
        <x:v>Élevé - FE PA générique</x:v>
      </x:c>
      <x:c r="U85" s="49" t="str">
        <x:v>Breaking Stab</x:v>
      </x:c>
      <x:c r="V85" s="49" t="str">
        <x:v>EcovaMED v0.7 + hypothèses internes explicites</x:v>
      </x:c>
      <x:c r="W85" s="49" t="str"/>
      <x:c r="X85" t="str">
        <x:f>IF(A85="","",IF(OR(ISNUMBER(SEARCH("poche",C85)),ISNUMBER(SEARCH("ampoule",C85)),ISNUMBER(SEARCH("plastique",C85))),"Prêt à être dilué / administré (hypothèse)","Reconstitution nécessaire (hypothèse)"))</x:f>
        <x:v>Reconstitution nécessaire (hypothèse)</x:v>
      </x:c>
      <x:c r="Y85" t="str">
        <x:f>IF(A85="","",IF(ISNUMBER(SEARCH("Reconstitution",X85)),"Flacon/poudre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5" t="n">
        <x:f>IF(A85="","",IF(ISNUMBER(SEARCH("Reconstitution",X85)),1,0))</x:f>
        <x:v>1</x:v>
      </x:c>
      <x:c r="AA85" t="str">
        <x:f>IF(Z85&gt;0,"SERINGUE_PP_24ML","")</x:f>
        <x:v>SERINGUE_PP_24ML</x:v>
      </x:c>
      <x:c r="AB85" s="48" t="n">
        <x:f>IF(Z85&gt;0,Z85*VLOOKUP(AA85,FACTEURS_ITEMS!$A$3:$J$30,4,FALSE),0)</x:f>
        <x:v>0.069</x:v>
      </x:c>
      <x:c r="AC85" t="n">
        <x:f>IF(A85="","",IF(ISNUMBER(SEARCH("Reconstitution",X85)),1,0))</x:f>
        <x:v>1</x:v>
      </x:c>
      <x:c r="AD85" t="str">
        <x:f>IF(AC85&gt;0,"AIGUILLE_RECONSTITUTION","")</x:f>
        <x:v>AIGUILLE_RECONSTITUTION</x:v>
      </x:c>
      <x:c r="AE85" s="48" t="n">
        <x:f>IF(AC85&gt;0,AC85*VLOOKUP(AD85,FACTEURS_ITEMS!$A$3:$J$30,4,FALSE),0)</x:f>
        <x:v>0.01</x:v>
      </x:c>
      <x:c r="AF85" s="48" t="n">
        <x:f>IF(A85="","",AB85+AE85)</x:f>
        <x:v>0.079</x:v>
      </x:c>
      <x:c r="AG85" s="48" t="n">
        <x:f>IF(A85="","",S85+AF85)</x:f>
        <x:v>0.39349375</x:v>
      </x:c>
      <x:c r="AH85" t="str">
        <x:f>IF(A85="","",IF(AF85&gt;0,"ACV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6">
      <x:c r="A86" s="49" t="str">
        <x:v>Pipéracilline/tazobactam</x:v>
      </x:c>
      <x:c r="B86" s="49" t="str">
        <x:v>Flacon 4 g/500 mg</x:v>
      </x:c>
      <x:c r="C86" s="49" t="str">
        <x:v>flacon verre</x:v>
      </x:c>
      <x:c r="D86" s="49" t="str">
        <x:v>Pipéracilline</x:v>
      </x:c>
      <x:c r="E86" s="49" t="n">
        <x:v>4000</x:v>
      </x:c>
      <x:c r="F86" s="49" t="str">
        <x:v>Tazobactam</x:v>
      </x:c>
      <x:c r="G86" s="49" t="n">
        <x:v>500</x:v>
      </x:c>
      <x:c r="H86" s="49" t="str"/>
      <x:c r="I86" s="49"/>
      <x:c r="J86" s="49" t="n">
        <x:f>IFERROR(SUM(E86,G86,I86)/1000,"")</x:f>
        <x:v>4.5</x:v>
      </x:c>
      <x:c r="K86" s="49" t="n">
        <x:f>$E$4</x:f>
        <x:v>100</x:v>
      </x:c>
      <x:c r="L86" s="49" t="n">
        <x:f>IF(J86="","",J86/1000*K86*(1+$E$5/100))</x:f>
        <x:v>0.4725</x:v>
      </x:c>
      <x:c r="M86" s="49" t="n">
        <x:f>IF(J86="","",J86/1000*$E$6)</x:f>
        <x:v>0.0004275</x:v>
      </x:c>
      <x:c r="N86" s="49" t="n">
        <x:f>IF(C86="ampoule verre",$E$12,IF(C86="poche PEA",$E$13,$E$11))</x:f>
        <x:v>10</x:v>
      </x:c>
      <x:c r="O86" s="49" t="n">
        <x:f>IF(C86="ampoule verre",$E$8,IF(C86="poche PEA",$E$9,$E$7))</x:f>
        <x:v>7.1</x:v>
      </x:c>
      <x:c r="P86" s="49" t="n">
        <x:f>N86/1000*O86*(1+$E$5/100)</x:f>
        <x:v>0.07454999999999999</x:v>
      </x:c>
      <x:c r="Q86" s="49" t="n">
        <x:f>$E$14</x:f>
        <x:v>3</x:v>
      </x:c>
      <x:c r="R86" s="49" t="n">
        <x:f>Q86/1000*$E$10</x:f>
        <x:v>0.00348</x:v>
      </x:c>
      <x:c r="S86" s="49" t="n">
        <x:f>IF(J86="","",SUM(L86:M86,P86,R86))</x:f>
        <x:v>0.5509575</x:v>
      </x:c>
      <x:c r="T86" s="49" t="str">
        <x:f>IF(OR(J86="",K86=$E$4),"Élevé - FE PA générique",IF(W86&lt;&gt;"","À vérifier","Moyen"))</x:f>
        <x:v>Élevé - FE PA générique</x:v>
      </x:c>
      <x:c r="U86" s="49" t="str">
        <x:v>Breaking Stab</x:v>
      </x:c>
      <x:c r="V86" s="49" t="str">
        <x:v>EcovaMED v0.7 + hypothèses internes explicites</x:v>
      </x:c>
      <x:c r="W86" s="49" t="str"/>
      <x:c r="X86" t="str">
        <x:f>IF(A86="","",IF(OR(ISNUMBER(SEARCH("poche",C86)),ISNUMBER(SEARCH("ampoule",C86)),ISNUMBER(SEARCH("plastique",C86))),"Prêt à être dilué / administré (hypothèse)","Reconstitution nécessaire (hypothèse)"))</x:f>
        <x:v>Reconstitution nécessaire (hypothèse)</x:v>
      </x:c>
      <x:c r="Y86" t="str">
        <x:f>IF(A86="","",IF(ISNUMBER(SEARCH("Reconstitution",X86)),"Flacon/poudre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6" t="n">
        <x:f>IF(A86="","",IF(ISNUMBER(SEARCH("Reconstitution",X86)),1,0))</x:f>
        <x:v>1</x:v>
      </x:c>
      <x:c r="AA86" t="str">
        <x:f>IF(Z86&gt;0,"SERINGUE_PP_24ML","")</x:f>
        <x:v>SERINGUE_PP_24ML</x:v>
      </x:c>
      <x:c r="AB86" s="48" t="n">
        <x:f>IF(Z86&gt;0,Z86*VLOOKUP(AA86,FACTEURS_ITEMS!$A$3:$J$30,4,FALSE),0)</x:f>
        <x:v>0.069</x:v>
      </x:c>
      <x:c r="AC86" t="n">
        <x:f>IF(A86="","",IF(ISNUMBER(SEARCH("Reconstitution",X86)),1,0))</x:f>
        <x:v>1</x:v>
      </x:c>
      <x:c r="AD86" t="str">
        <x:f>IF(AC86&gt;0,"AIGUILLE_RECONSTITUTION","")</x:f>
        <x:v>AIGUILLE_RECONSTITUTION</x:v>
      </x:c>
      <x:c r="AE86" s="48" t="n">
        <x:f>IF(AC86&gt;0,AC86*VLOOKUP(AD86,FACTEURS_ITEMS!$A$3:$J$30,4,FALSE),0)</x:f>
        <x:v>0.01</x:v>
      </x:c>
      <x:c r="AF86" s="48" t="n">
        <x:f>IF(A86="","",AB86+AE86)</x:f>
        <x:v>0.079</x:v>
      </x:c>
      <x:c r="AG86" s="48" t="n">
        <x:f>IF(A86="","",S86+AF86)</x:f>
        <x:v>0.6299575</x:v>
      </x:c>
      <x:c r="AH86" t="str">
        <x:f>IF(A86="","",IF(AF86&gt;0,"ACV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7">
      <x:c r="A87" s="49" t="str">
        <x:v>Rifampicine IV</x:v>
      </x:c>
      <x:c r="B87" s="49" t="str">
        <x:v>Flacon 600 mg</x:v>
      </x:c>
      <x:c r="C87" s="49" t="str">
        <x:v>flacon verre</x:v>
      </x:c>
      <x:c r="D87" s="49" t="str">
        <x:v>Rifampicine</x:v>
      </x:c>
      <x:c r="E87" s="49" t="n">
        <x:v>600</x:v>
      </x:c>
      <x:c r="F87" s="49" t="str"/>
      <x:c r="G87" s="49"/>
      <x:c r="H87" s="49" t="str"/>
      <x:c r="I87" s="49"/>
      <x:c r="J87" s="49" t="n">
        <x:f>IFERROR(SUM(E87,G87,I87)/1000,"")</x:f>
        <x:v>0.6</x:v>
      </x:c>
      <x:c r="K87" s="49" t="n">
        <x:f>$E$4</x:f>
        <x:v>100</x:v>
      </x:c>
      <x:c r="L87" s="49" t="n">
        <x:f>IF(J87="","",J87/1000*K87*(1+$E$5/100))</x:f>
        <x:v>0.063</x:v>
      </x:c>
      <x:c r="M87" s="49" t="n">
        <x:f>IF(J87="","",J87/1000*$E$6)</x:f>
        <x:v>0.000056999999999999996</x:v>
      </x:c>
      <x:c r="N87" s="49" t="n">
        <x:f>IF(C87="ampoule verre",$E$12,IF(C87="poche PEA",$E$13,$E$11))</x:f>
        <x:v>10</x:v>
      </x:c>
      <x:c r="O87" s="49" t="n">
        <x:f>IF(C87="ampoule verre",$E$8,IF(C87="poche PEA",$E$9,$E$7))</x:f>
        <x:v>7.1</x:v>
      </x:c>
      <x:c r="P87" s="49" t="n">
        <x:f>N87/1000*O87*(1+$E$5/100)</x:f>
        <x:v>0.07454999999999999</x:v>
      </x:c>
      <x:c r="Q87" s="49" t="n">
        <x:f>$E$14</x:f>
        <x:v>3</x:v>
      </x:c>
      <x:c r="R87" s="49" t="n">
        <x:f>Q87/1000*$E$10</x:f>
        <x:v>0.00348</x:v>
      </x:c>
      <x:c r="S87" s="49" t="n">
        <x:f>IF(J87="","",SUM(L87:M87,P87,R87))</x:f>
        <x:v>0.141087</x:v>
      </x:c>
      <x:c r="T87" s="49" t="str">
        <x:f>IF(OR(J87="",K87=$E$4),"Élevé - FE PA générique",IF(W87&lt;&gt;"","À vérifier","Moyen"))</x:f>
        <x:v>Élevé - FE PA générique</x:v>
      </x:c>
      <x:c r="U87" s="49" t="str">
        <x:v>Breaking Stab</x:v>
      </x:c>
      <x:c r="V87" s="49" t="str">
        <x:v>EcovaMED v0.7 + hypothèses internes explicites</x:v>
      </x:c>
      <x:c r="W87" s="49" t="str"/>
      <x:c r="X87" t="str">
        <x:f>IF(A87="","",IF(OR(ISNUMBER(SEARCH("poche",C87)),ISNUMBER(SEARCH("ampoule",C87)),ISNUMBER(SEARCH("plastique",C87))),"Prêt à être dilué / administré (hypothèse)","Reconstitution nécessaire (hypothèse)"))</x:f>
        <x:v>Reconstitution nécessaire (hypothèse)</x:v>
      </x:c>
      <x:c r="Y87" t="str">
        <x:f>IF(A87="","",IF(ISNUMBER(SEARCH("Reconstitution",X87)),"Flacon/poudre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7" t="n">
        <x:f>IF(A87="","",IF(ISNUMBER(SEARCH("Reconstitution",X87)),1,0))</x:f>
        <x:v>1</x:v>
      </x:c>
      <x:c r="AA87" t="str">
        <x:f>IF(Z87&gt;0,"SERINGUE_PP_24ML","")</x:f>
        <x:v>SERINGUE_PP_24ML</x:v>
      </x:c>
      <x:c r="AB87" s="48" t="n">
        <x:f>IF(Z87&gt;0,Z87*VLOOKUP(AA87,FACTEURS_ITEMS!$A$3:$J$30,4,FALSE),0)</x:f>
        <x:v>0.069</x:v>
      </x:c>
      <x:c r="AC87" t="n">
        <x:f>IF(A87="","",IF(ISNUMBER(SEARCH("Reconstitution",X87)),1,0))</x:f>
        <x:v>1</x:v>
      </x:c>
      <x:c r="AD87" t="str">
        <x:f>IF(AC87&gt;0,"AIGUILLE_RECONSTITUTION","")</x:f>
        <x:v>AIGUILLE_RECONSTITUTION</x:v>
      </x:c>
      <x:c r="AE87" s="48" t="n">
        <x:f>IF(AC87&gt;0,AC87*VLOOKUP(AD87,FACTEURS_ITEMS!$A$3:$J$30,4,FALSE),0)</x:f>
        <x:v>0.01</x:v>
      </x:c>
      <x:c r="AF87" s="48" t="n">
        <x:f>IF(A87="","",AB87+AE87)</x:f>
        <x:v>0.079</x:v>
      </x:c>
      <x:c r="AG87" s="48" t="n">
        <x:f>IF(A87="","",S87+AF87)</x:f>
        <x:v>0.22008699999999998</x:v>
      </x:c>
      <x:c r="AH87" t="str">
        <x:f>IF(A87="","",IF(AF87&gt;0,"ACV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8">
      <x:c r="A88" s="49" t="str">
        <x:v>Spiramycine</x:v>
      </x:c>
      <x:c r="B88" s="49" t="str">
        <x:v>Flacon 1,5 MUI</x:v>
      </x:c>
      <x:c r="C88" s="49" t="str">
        <x:v>flacon verre</x:v>
      </x:c>
      <x:c r="D88" s="49" t="str">
        <x:v>Spiramycine</x:v>
      </x:c>
      <x:c r="E88" s="49"/>
      <x:c r="F88" s="49" t="str"/>
      <x:c r="G88" s="49"/>
      <x:c r="H88" s="49" t="str"/>
      <x:c r="I88" s="49"/>
      <x:c r="J88" s="49" t="n">
        <x:f>IFERROR(SUM(E88,G88,I88)/1000,"")</x:f>
        <x:v>0</x:v>
      </x:c>
      <x:c r="K88" s="49" t="n">
        <x:f>$E$4</x:f>
        <x:v>100</x:v>
      </x:c>
      <x:c r="L88" s="49" t="str">
        <x:f>IF(J88="","",J88/1000*K88*(1+$E$5/100))</x:f>
      </x:c>
      <x:c r="M88" s="49" t="str">
        <x:f>IF(J88="","",J88/1000*$E$6)</x:f>
      </x:c>
      <x:c r="N88" s="49" t="n">
        <x:f>IF(C88="ampoule verre",$E$12,IF(C88="poche PEA",$E$13,$E$11))</x:f>
        <x:v>10</x:v>
      </x:c>
      <x:c r="O88" s="49" t="n">
        <x:f>IF(C88="ampoule verre",$E$8,IF(C88="poche PEA",$E$9,$E$7))</x:f>
        <x:v>7.1</x:v>
      </x:c>
      <x:c r="P88" s="49" t="n">
        <x:f>N88/1000*O88*(1+$E$5/100)</x:f>
        <x:v>0.07454999999999999</x:v>
      </x:c>
      <x:c r="Q88" s="49" t="n">
        <x:f>$E$14</x:f>
        <x:v>3</x:v>
      </x:c>
      <x:c r="R88" s="49" t="n">
        <x:f>Q88/1000*$E$10</x:f>
        <x:v>0.00348</x:v>
      </x:c>
      <x:c r="S88" s="49" t="str">
        <x:f>IF(J88="","",SUM(L88:M88,P88,R88))</x:f>
      </x:c>
      <x:c r="T88" s="49" t="str">
        <x:f>IF(OR(J88="",K88=$E$4),"Élevé - FE PA générique",IF(W88&lt;&gt;"","À vérifier","Moyen"))</x:f>
        <x:v>Élevé - FE PA générique</x:v>
      </x:c>
      <x:c r="U88" s="49" t="str">
        <x:v>Breaking Stab ; masse PA à compléter</x:v>
      </x:c>
      <x:c r="V88" s="49" t="str">
        <x:v>EcovaMED v0.7 + hypothèses internes explicites</x:v>
      </x:c>
      <x:c r="W88" s="49" t="str">
        <x:v>Masse en mg à compléter avant usage du calcul ACV.</x:v>
      </x:c>
      <x:c r="X88" t="str">
        <x:f>IF(A88="","",IF(OR(ISNUMBER(SEARCH("poche",C88)),ISNUMBER(SEARCH("ampoule",C88)),ISNUMBER(SEARCH("plastique",C88))),"Prêt à être dilué / administré (hypothèse)","Reconstitution nécessaire (hypothèse)"))</x:f>
        <x:v>Reconstitution nécessaire (hypothèse)</x:v>
      </x:c>
      <x:c r="Y88" t="str">
        <x:f>IF(A88="","",IF(ISNUMBER(SEARCH("Reconstitution",X88)),"Flacon/poudre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8" t="n">
        <x:f>IF(A88="","",IF(ISNUMBER(SEARCH("Reconstitution",X88)),1,0))</x:f>
        <x:v>1</x:v>
      </x:c>
      <x:c r="AA88" t="str">
        <x:f>IF(Z88&gt;0,"SERINGUE_PP_24ML","")</x:f>
        <x:v>SERINGUE_PP_24ML</x:v>
      </x:c>
      <x:c r="AB88" s="48" t="n">
        <x:f>IF(Z88&gt;0,Z88*VLOOKUP(AA88,FACTEURS_ITEMS!$A$3:$J$30,4,FALSE),0)</x:f>
        <x:v>0.069</x:v>
      </x:c>
      <x:c r="AC88" t="n">
        <x:f>IF(A88="","",IF(ISNUMBER(SEARCH("Reconstitution",X88)),1,0))</x:f>
        <x:v>1</x:v>
      </x:c>
      <x:c r="AD88" t="str">
        <x:f>IF(AC88&gt;0,"AIGUILLE_RECONSTITUTION","")</x:f>
        <x:v>AIGUILLE_RECONSTITUTION</x:v>
      </x:c>
      <x:c r="AE88" s="48" t="n">
        <x:f>IF(AC88&gt;0,AC88*VLOOKUP(AD88,FACTEURS_ITEMS!$A$3:$J$30,4,FALSE),0)</x:f>
        <x:v>0.01</x:v>
      </x:c>
      <x:c r="AF88" s="48" t="n">
        <x:f>IF(A88="","",AB88+AE88)</x:f>
        <x:v>0.079</x:v>
      </x:c>
      <x:c r="AG88" s="48" t="n">
        <x:f>IF(A88="","",S88+AF88)</x:f>
        <x:v>0.079</x:v>
      </x:c>
      <x:c r="AH88" t="str">
        <x:f>IF(A88="","",IF(AF88&gt;0,"ACV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9">
      <x:c r="A89" s="49" t="str">
        <x:v>Spiramycine</x:v>
      </x:c>
      <x:c r="B89" s="49" t="str">
        <x:v>Flacon 3 MUI</x:v>
      </x:c>
      <x:c r="C89" s="49" t="str">
        <x:v>flacon verre</x:v>
      </x:c>
      <x:c r="D89" s="49" t="str">
        <x:v>Spiramycine</x:v>
      </x:c>
      <x:c r="E89" s="49"/>
      <x:c r="F89" s="49" t="str"/>
      <x:c r="G89" s="49"/>
      <x:c r="H89" s="49" t="str"/>
      <x:c r="I89" s="49"/>
      <x:c r="J89" s="49" t="n">
        <x:f>IFERROR(SUM(E89,G89,I89)/1000,"")</x:f>
        <x:v>0</x:v>
      </x:c>
      <x:c r="K89" s="49" t="n">
        <x:f>$E$4</x:f>
        <x:v>100</x:v>
      </x:c>
      <x:c r="L89" s="49" t="str">
        <x:f>IF(J89="","",J89/1000*K89*(1+$E$5/100))</x:f>
      </x:c>
      <x:c r="M89" s="49" t="str">
        <x:f>IF(J89="","",J89/1000*$E$6)</x:f>
      </x:c>
      <x:c r="N89" s="49" t="n">
        <x:f>IF(C89="ampoule verre",$E$12,IF(C89="poche PEA",$E$13,$E$11))</x:f>
        <x:v>10</x:v>
      </x:c>
      <x:c r="O89" s="49" t="n">
        <x:f>IF(C89="ampoule verre",$E$8,IF(C89="poche PEA",$E$9,$E$7))</x:f>
        <x:v>7.1</x:v>
      </x:c>
      <x:c r="P89" s="49" t="n">
        <x:f>N89/1000*O89*(1+$E$5/100)</x:f>
        <x:v>0.07454999999999999</x:v>
      </x:c>
      <x:c r="Q89" s="49" t="n">
        <x:f>$E$14</x:f>
        <x:v>3</x:v>
      </x:c>
      <x:c r="R89" s="49" t="n">
        <x:f>Q89/1000*$E$10</x:f>
        <x:v>0.00348</x:v>
      </x:c>
      <x:c r="S89" s="49" t="str">
        <x:f>IF(J89="","",SUM(L89:M89,P89,R89))</x:f>
      </x:c>
      <x:c r="T89" s="49" t="str">
        <x:f>IF(OR(J89="",K89=$E$4),"Élevé - FE PA générique",IF(W89&lt;&gt;"","À vérifier","Moyen"))</x:f>
        <x:v>Élevé - FE PA générique</x:v>
      </x:c>
      <x:c r="U89" s="49" t="str">
        <x:v>Breaking Stab ; masse PA à compléter</x:v>
      </x:c>
      <x:c r="V89" s="49" t="str">
        <x:v>EcovaMED v0.7 + hypothèses internes explicites</x:v>
      </x:c>
      <x:c r="W89" s="49" t="str">
        <x:v>Masse en mg à compléter avant usage du calcul ACV.</x:v>
      </x:c>
      <x:c r="X89" t="str">
        <x:f>IF(A89="","",IF(OR(ISNUMBER(SEARCH("poche",C89)),ISNUMBER(SEARCH("ampoule",C89)),ISNUMBER(SEARCH("plastique",C89))),"Prêt à être dilué / administré (hypothèse)","Reconstitution nécessaire (hypothèse)"))</x:f>
        <x:v>Reconstitution nécessaire (hypothèse)</x:v>
      </x:c>
      <x:c r="Y89" t="str">
        <x:f>IF(A89="","",IF(ISNUMBER(SEARCH("Reconstitution",X89)),"Flacon/poudre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9" t="n">
        <x:f>IF(A89="","",IF(ISNUMBER(SEARCH("Reconstitution",X89)),1,0))</x:f>
        <x:v>1</x:v>
      </x:c>
      <x:c r="AA89" t="str">
        <x:f>IF(Z89&gt;0,"SERINGUE_PP_24ML","")</x:f>
        <x:v>SERINGUE_PP_24ML</x:v>
      </x:c>
      <x:c r="AB89" s="48" t="n">
        <x:f>IF(Z89&gt;0,Z89*VLOOKUP(AA89,FACTEURS_ITEMS!$A$3:$J$30,4,FALSE),0)</x:f>
        <x:v>0.069</x:v>
      </x:c>
      <x:c r="AC89" t="n">
        <x:f>IF(A89="","",IF(ISNUMBER(SEARCH("Reconstitution",X89)),1,0))</x:f>
        <x:v>1</x:v>
      </x:c>
      <x:c r="AD89" t="str">
        <x:f>IF(AC89&gt;0,"AIGUILLE_RECONSTITUTION","")</x:f>
        <x:v>AIGUILLE_RECONSTITUTION</x:v>
      </x:c>
      <x:c r="AE89" s="48" t="n">
        <x:f>IF(AC89&gt;0,AC89*VLOOKUP(AD89,FACTEURS_ITEMS!$A$3:$J$30,4,FALSE),0)</x:f>
        <x:v>0.01</x:v>
      </x:c>
      <x:c r="AF89" s="48" t="n">
        <x:f>IF(A89="","",AB89+AE89)</x:f>
        <x:v>0.079</x:v>
      </x:c>
      <x:c r="AG89" s="48" t="n">
        <x:f>IF(A89="","",S89+AF89)</x:f>
        <x:v>0.079</x:v>
      </x:c>
      <x:c r="AH89" t="str">
        <x:f>IF(A89="","",IF(AF89&gt;0,"ACV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0">
      <x:c r="A90" s="49" t="str">
        <x:v>Tedizolide</x:v>
      </x:c>
      <x:c r="B90" s="49" t="str">
        <x:v>Flacon 200 mg</x:v>
      </x:c>
      <x:c r="C90" s="49" t="str">
        <x:v>flacon verre</x:v>
      </x:c>
      <x:c r="D90" s="49" t="str">
        <x:v>Tedizolide</x:v>
      </x:c>
      <x:c r="E90" s="49" t="n">
        <x:v>200</x:v>
      </x:c>
      <x:c r="F90" s="49" t="str"/>
      <x:c r="G90" s="49"/>
      <x:c r="H90" s="49" t="str"/>
      <x:c r="I90" s="49"/>
      <x:c r="J90" s="49" t="n">
        <x:f>IFERROR(SUM(E90,G90,I90)/1000,"")</x:f>
        <x:v>0.2</x:v>
      </x:c>
      <x:c r="K90" s="49" t="n">
        <x:f>$E$4</x:f>
        <x:v>100</x:v>
      </x:c>
      <x:c r="L90" s="49" t="n">
        <x:f>IF(J90="","",J90/1000*K90*(1+$E$5/100))</x:f>
        <x:v>0.021</x:v>
      </x:c>
      <x:c r="M90" s="49" t="n">
        <x:f>IF(J90="","",J90/1000*$E$6)</x:f>
        <x:v>0.000019</x:v>
      </x:c>
      <x:c r="N90" s="49" t="n">
        <x:f>IF(C90="ampoule verre",$E$12,IF(C90="poche PEA",$E$13,$E$11))</x:f>
        <x:v>10</x:v>
      </x:c>
      <x:c r="O90" s="49" t="n">
        <x:f>IF(C90="ampoule verre",$E$8,IF(C90="poche PEA",$E$9,$E$7))</x:f>
        <x:v>7.1</x:v>
      </x:c>
      <x:c r="P90" s="49" t="n">
        <x:f>N90/1000*O90*(1+$E$5/100)</x:f>
        <x:v>0.07454999999999999</x:v>
      </x:c>
      <x:c r="Q90" s="49" t="n">
        <x:f>$E$14</x:f>
        <x:v>3</x:v>
      </x:c>
      <x:c r="R90" s="49" t="n">
        <x:f>Q90/1000*$E$10</x:f>
        <x:v>0.00348</x:v>
      </x:c>
      <x:c r="S90" s="49" t="n">
        <x:f>IF(J90="","",SUM(L90:M90,P90,R90))</x:f>
        <x:v>0.09904899999999998</x:v>
      </x:c>
      <x:c r="T90" s="49" t="str">
        <x:f>IF(OR(J90="",K90=$E$4),"Élevé - FE PA générique",IF(W90&lt;&gt;"","À vérifier","Moyen"))</x:f>
        <x:v>Élevé - FE PA générique</x:v>
      </x:c>
      <x:c r="U90" s="49" t="str">
        <x:v>Breaking Stab</x:v>
      </x:c>
      <x:c r="V90" s="49" t="str">
        <x:v>EcovaMED v0.7 + hypothèses internes explicites</x:v>
      </x:c>
      <x:c r="W90" s="49" t="str"/>
      <x:c r="X90" t="str">
        <x:f>IF(A90="","",IF(OR(ISNUMBER(SEARCH("poche",C90)),ISNUMBER(SEARCH("ampoule",C90)),ISNUMBER(SEARCH("plastique",C90))),"Prêt à être dilué / administré (hypothèse)","Reconstitution nécessaire (hypothèse)"))</x:f>
        <x:v>Reconstitution nécessaire (hypothèse)</x:v>
      </x:c>
      <x:c r="Y90" t="str">
        <x:f>IF(A90="","",IF(ISNUMBER(SEARCH("Reconstitution",X90)),"Flacon/poudre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0" t="n">
        <x:f>IF(A90="","",IF(ISNUMBER(SEARCH("Reconstitution",X90)),1,0))</x:f>
        <x:v>1</x:v>
      </x:c>
      <x:c r="AA90" t="str">
        <x:f>IF(Z90&gt;0,"SERINGUE_PP_24ML","")</x:f>
        <x:v>SERINGUE_PP_24ML</x:v>
      </x:c>
      <x:c r="AB90" s="48" t="n">
        <x:f>IF(Z90&gt;0,Z90*VLOOKUP(AA90,FACTEURS_ITEMS!$A$3:$J$30,4,FALSE),0)</x:f>
        <x:v>0.069</x:v>
      </x:c>
      <x:c r="AC90" t="n">
        <x:f>IF(A90="","",IF(ISNUMBER(SEARCH("Reconstitution",X90)),1,0))</x:f>
        <x:v>1</x:v>
      </x:c>
      <x:c r="AD90" t="str">
        <x:f>IF(AC90&gt;0,"AIGUILLE_RECONSTITUTION","")</x:f>
        <x:v>AIGUILLE_RECONSTITUTION</x:v>
      </x:c>
      <x:c r="AE90" s="48" t="n">
        <x:f>IF(AC90&gt;0,AC90*VLOOKUP(AD90,FACTEURS_ITEMS!$A$3:$J$30,4,FALSE),0)</x:f>
        <x:v>0.01</x:v>
      </x:c>
      <x:c r="AF90" s="48" t="n">
        <x:f>IF(A90="","",AB90+AE90)</x:f>
        <x:v>0.079</x:v>
      </x:c>
      <x:c r="AG90" s="48" t="n">
        <x:f>IF(A90="","",S90+AF90)</x:f>
        <x:v>0.17804899999999999</x:v>
      </x:c>
      <x:c r="AH90" t="str">
        <x:f>IF(A90="","",IF(AF90&gt;0,"ACV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1">
      <x:c r="A91" s="49" t="str">
        <x:v>Teicoplanine</x:v>
      </x:c>
      <x:c r="B91" s="49" t="str">
        <x:v>Flacon 200 mg</x:v>
      </x:c>
      <x:c r="C91" s="49" t="str">
        <x:v>flacon verre</x:v>
      </x:c>
      <x:c r="D91" s="49" t="str">
        <x:v>Teicoplanine</x:v>
      </x:c>
      <x:c r="E91" s="49" t="n">
        <x:v>200</x:v>
      </x:c>
      <x:c r="F91" s="49" t="str"/>
      <x:c r="G91" s="49"/>
      <x:c r="H91" s="49" t="str"/>
      <x:c r="I91" s="49"/>
      <x:c r="J91" s="49" t="n">
        <x:f>IFERROR(SUM(E91,G91,I91)/1000,"")</x:f>
        <x:v>0.2</x:v>
      </x:c>
      <x:c r="K91" s="49" t="n">
        <x:f>$E$4</x:f>
        <x:v>100</x:v>
      </x:c>
      <x:c r="L91" s="49" t="n">
        <x:f>IF(J91="","",J91/1000*K91*(1+$E$5/100))</x:f>
        <x:v>0.021</x:v>
      </x:c>
      <x:c r="M91" s="49" t="n">
        <x:f>IF(J91="","",J91/1000*$E$6)</x:f>
        <x:v>0.000019</x:v>
      </x:c>
      <x:c r="N91" s="49" t="n">
        <x:f>IF(C91="ampoule verre",$E$12,IF(C91="poche PEA",$E$13,$E$11))</x:f>
        <x:v>10</x:v>
      </x:c>
      <x:c r="O91" s="49" t="n">
        <x:f>IF(C91="ampoule verre",$E$8,IF(C91="poche PEA",$E$9,$E$7))</x:f>
        <x:v>7.1</x:v>
      </x:c>
      <x:c r="P91" s="49" t="n">
        <x:f>N91/1000*O91*(1+$E$5/100)</x:f>
        <x:v>0.07454999999999999</x:v>
      </x:c>
      <x:c r="Q91" s="49" t="n">
        <x:f>$E$14</x:f>
        <x:v>3</x:v>
      </x:c>
      <x:c r="R91" s="49" t="n">
        <x:f>Q91/1000*$E$10</x:f>
        <x:v>0.00348</x:v>
      </x:c>
      <x:c r="S91" s="49" t="n">
        <x:f>IF(J91="","",SUM(L91:M91,P91,R91))</x:f>
        <x:v>0.09904899999999998</x:v>
      </x:c>
      <x:c r="T91" s="49" t="str">
        <x:f>IF(OR(J91="",K91=$E$4),"Élevé - FE PA générique",IF(W91&lt;&gt;"","À vérifier","Moyen"))</x:f>
        <x:v>Élevé - FE PA générique</x:v>
      </x:c>
      <x:c r="U91" s="49" t="str">
        <x:v>Breaking Stab</x:v>
      </x:c>
      <x:c r="V91" s="49" t="str">
        <x:v>EcovaMED v0.7 + hypothèses internes explicites</x:v>
      </x:c>
      <x:c r="W91" s="49" t="str"/>
      <x:c r="X91" t="str">
        <x:f>IF(A91="","",IF(OR(ISNUMBER(SEARCH("poche",C91)),ISNUMBER(SEARCH("ampoule",C91)),ISNUMBER(SEARCH("plastique",C91))),"Prêt à être dilué / administré (hypothèse)","Reconstitution nécessaire (hypothèse)"))</x:f>
        <x:v>Reconstitution nécessaire (hypothèse)</x:v>
      </x:c>
      <x:c r="Y91" t="str">
        <x:f>IF(A91="","",IF(ISNUMBER(SEARCH("Reconstitution",X91)),"Flacon/poudre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1" t="n">
        <x:f>IF(A91="","",IF(ISNUMBER(SEARCH("Reconstitution",X91)),1,0))</x:f>
        <x:v>1</x:v>
      </x:c>
      <x:c r="AA91" t="str">
        <x:f>IF(Z91&gt;0,"SERINGUE_PP_24ML","")</x:f>
        <x:v>SERINGUE_PP_24ML</x:v>
      </x:c>
      <x:c r="AB91" s="48" t="n">
        <x:f>IF(Z91&gt;0,Z91*VLOOKUP(AA91,FACTEURS_ITEMS!$A$3:$J$30,4,FALSE),0)</x:f>
        <x:v>0.069</x:v>
      </x:c>
      <x:c r="AC91" t="n">
        <x:f>IF(A91="","",IF(ISNUMBER(SEARCH("Reconstitution",X91)),1,0))</x:f>
        <x:v>1</x:v>
      </x:c>
      <x:c r="AD91" t="str">
        <x:f>IF(AC91&gt;0,"AIGUILLE_RECONSTITUTION","")</x:f>
        <x:v>AIGUILLE_RECONSTITUTION</x:v>
      </x:c>
      <x:c r="AE91" s="48" t="n">
        <x:f>IF(AC91&gt;0,AC91*VLOOKUP(AD91,FACTEURS_ITEMS!$A$3:$J$30,4,FALSE),0)</x:f>
        <x:v>0.01</x:v>
      </x:c>
      <x:c r="AF91" s="48" t="n">
        <x:f>IF(A91="","",AB91+AE91)</x:f>
        <x:v>0.079</x:v>
      </x:c>
      <x:c r="AG91" s="48" t="n">
        <x:f>IF(A91="","",S91+AF91)</x:f>
        <x:v>0.17804899999999999</x:v>
      </x:c>
      <x:c r="AH91" t="str">
        <x:f>IF(A91="","",IF(AF91&gt;0,"ACV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2">
      <x:c r="A92" s="49" t="str">
        <x:v>Teicoplanine</x:v>
      </x:c>
      <x:c r="B92" s="49" t="str">
        <x:v>Flacon 400 mg</x:v>
      </x:c>
      <x:c r="C92" s="49" t="str">
        <x:v>flacon verre</x:v>
      </x:c>
      <x:c r="D92" s="49" t="str">
        <x:v>Teicoplanine</x:v>
      </x:c>
      <x:c r="E92" s="49" t="n">
        <x:v>400</x:v>
      </x:c>
      <x:c r="F92" s="49" t="str"/>
      <x:c r="G92" s="49"/>
      <x:c r="H92" s="49" t="str"/>
      <x:c r="I92" s="49"/>
      <x:c r="J92" s="49" t="n">
        <x:f>IFERROR(SUM(E92,G92,I92)/1000,"")</x:f>
        <x:v>0.4</x:v>
      </x:c>
      <x:c r="K92" s="49" t="n">
        <x:f>$E$4</x:f>
        <x:v>100</x:v>
      </x:c>
      <x:c r="L92" s="49" t="n">
        <x:f>IF(J92="","",J92/1000*K92*(1+$E$5/100))</x:f>
        <x:v>0.042</x:v>
      </x:c>
      <x:c r="M92" s="49" t="n">
        <x:f>IF(J92="","",J92/1000*$E$6)</x:f>
        <x:v>0.000038</x:v>
      </x:c>
      <x:c r="N92" s="49" t="n">
        <x:f>IF(C92="ampoule verre",$E$12,IF(C92="poche PEA",$E$13,$E$11))</x:f>
        <x:v>10</x:v>
      </x:c>
      <x:c r="O92" s="49" t="n">
        <x:f>IF(C92="ampoule verre",$E$8,IF(C92="poche PEA",$E$9,$E$7))</x:f>
        <x:v>7.1</x:v>
      </x:c>
      <x:c r="P92" s="49" t="n">
        <x:f>N92/1000*O92*(1+$E$5/100)</x:f>
        <x:v>0.07454999999999999</x:v>
      </x:c>
      <x:c r="Q92" s="49" t="n">
        <x:f>$E$14</x:f>
        <x:v>3</x:v>
      </x:c>
      <x:c r="R92" s="49" t="n">
        <x:f>Q92/1000*$E$10</x:f>
        <x:v>0.00348</x:v>
      </x:c>
      <x:c r="S92" s="49" t="n">
        <x:f>IF(J92="","",SUM(L92:M92,P92,R92))</x:f>
        <x:v>0.120068</x:v>
      </x:c>
      <x:c r="T92" s="49" t="str">
        <x:f>IF(OR(J92="",K92=$E$4),"Élevé - FE PA générique",IF(W92&lt;&gt;"","À vérifier","Moyen"))</x:f>
        <x:v>Élevé - FE PA générique</x:v>
      </x:c>
      <x:c r="U92" s="49" t="str">
        <x:v>Breaking Stab</x:v>
      </x:c>
      <x:c r="V92" s="49" t="str">
        <x:v>EcovaMED v0.7 + hypothèses internes explicites</x:v>
      </x:c>
      <x:c r="W92" s="49" t="str"/>
      <x:c r="X92" t="str">
        <x:f>IF(A92="","",IF(OR(ISNUMBER(SEARCH("poche",C92)),ISNUMBER(SEARCH("ampoule",C92)),ISNUMBER(SEARCH("plastique",C92))),"Prêt à être dilué / administré (hypothèse)","Reconstitution nécessaire (hypothèse)"))</x:f>
        <x:v>Reconstitution nécessaire (hypothèse)</x:v>
      </x:c>
      <x:c r="Y92" t="str">
        <x:f>IF(A92="","",IF(ISNUMBER(SEARCH("Reconstitution",X92)),"Flacon/poudre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2" t="n">
        <x:f>IF(A92="","",IF(ISNUMBER(SEARCH("Reconstitution",X92)),1,0))</x:f>
        <x:v>1</x:v>
      </x:c>
      <x:c r="AA92" t="str">
        <x:f>IF(Z92&gt;0,"SERINGUE_PP_24ML","")</x:f>
        <x:v>SERINGUE_PP_24ML</x:v>
      </x:c>
      <x:c r="AB92" s="48" t="n">
        <x:f>IF(Z92&gt;0,Z92*VLOOKUP(AA92,FACTEURS_ITEMS!$A$3:$J$30,4,FALSE),0)</x:f>
        <x:v>0.069</x:v>
      </x:c>
      <x:c r="AC92" t="n">
        <x:f>IF(A92="","",IF(ISNUMBER(SEARCH("Reconstitution",X92)),1,0))</x:f>
        <x:v>1</x:v>
      </x:c>
      <x:c r="AD92" t="str">
        <x:f>IF(AC92&gt;0,"AIGUILLE_RECONSTITUTION","")</x:f>
        <x:v>AIGUILLE_RECONSTITUTION</x:v>
      </x:c>
      <x:c r="AE92" s="48" t="n">
        <x:f>IF(AC92&gt;0,AC92*VLOOKUP(AD92,FACTEURS_ITEMS!$A$3:$J$30,4,FALSE),0)</x:f>
        <x:v>0.01</x:v>
      </x:c>
      <x:c r="AF92" s="48" t="n">
        <x:f>IF(A92="","",AB92+AE92)</x:f>
        <x:v>0.079</x:v>
      </x:c>
      <x:c r="AG92" s="48" t="n">
        <x:f>IF(A92="","",S92+AF92)</x:f>
        <x:v>0.199068</x:v>
      </x:c>
      <x:c r="AH92" t="str">
        <x:f>IF(A92="","",IF(AF92&gt;0,"ACV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3">
      <x:c r="A93" s="49" t="str">
        <x:v>Témocilline</x:v>
      </x:c>
      <x:c r="B93" s="49" t="str">
        <x:v>Flacon 1 g</x:v>
      </x:c>
      <x:c r="C93" s="49" t="str">
        <x:v>flacon verre</x:v>
      </x:c>
      <x:c r="D93" s="49" t="str">
        <x:v>Témocilline</x:v>
      </x:c>
      <x:c r="E93" s="49" t="n">
        <x:v>1000</x:v>
      </x:c>
      <x:c r="F93" s="49" t="str"/>
      <x:c r="G93" s="49"/>
      <x:c r="H93" s="49" t="str"/>
      <x:c r="I93" s="49"/>
      <x:c r="J93" s="49" t="n">
        <x:f>IFERROR(SUM(E93,G93,I93)/1000,"")</x:f>
        <x:v>1</x:v>
      </x:c>
      <x:c r="K93" s="49" t="n">
        <x:f>$E$4</x:f>
        <x:v>100</x:v>
      </x:c>
      <x:c r="L93" s="49" t="n">
        <x:f>IF(J93="","",J93/1000*K93*(1+$E$5/100))</x:f>
        <x:v>0.10500000000000001</x:v>
      </x:c>
      <x:c r="M93" s="49" t="n">
        <x:f>IF(J93="","",J93/1000*$E$6)</x:f>
        <x:v>0.000095</x:v>
      </x:c>
      <x:c r="N93" s="49" t="n">
        <x:f>IF(C93="ampoule verre",$E$12,IF(C93="poche PEA",$E$13,$E$11))</x:f>
        <x:v>10</x:v>
      </x:c>
      <x:c r="O93" s="49" t="n">
        <x:f>IF(C93="ampoule verre",$E$8,IF(C93="poche PEA",$E$9,$E$7))</x:f>
        <x:v>7.1</x:v>
      </x:c>
      <x:c r="P93" s="49" t="n">
        <x:f>N93/1000*O93*(1+$E$5/100)</x:f>
        <x:v>0.07454999999999999</x:v>
      </x:c>
      <x:c r="Q93" s="49" t="n">
        <x:f>$E$14</x:f>
        <x:v>3</x:v>
      </x:c>
      <x:c r="R93" s="49" t="n">
        <x:f>Q93/1000*$E$10</x:f>
        <x:v>0.00348</x:v>
      </x:c>
      <x:c r="S93" s="49" t="n">
        <x:f>IF(J93="","",SUM(L93:M93,P93,R93))</x:f>
        <x:v>0.183125</x:v>
      </x:c>
      <x:c r="T93" s="49" t="str">
        <x:f>IF(OR(J93="",K93=$E$4),"Élevé - FE PA générique",IF(W93&lt;&gt;"","À vérifier","Moyen"))</x:f>
        <x:v>Élevé - FE PA générique</x:v>
      </x:c>
      <x:c r="U93" s="49" t="str">
        <x:v>Breaking Stab</x:v>
      </x:c>
      <x:c r="V93" s="49" t="str">
        <x:v>EcovaMED v0.7 + hypothèses internes explicites</x:v>
      </x:c>
      <x:c r="W93" s="49" t="str"/>
      <x:c r="X93" t="str">
        <x:f>IF(A93="","",IF(OR(ISNUMBER(SEARCH("poche",C93)),ISNUMBER(SEARCH("ampoule",C93)),ISNUMBER(SEARCH("plastique",C93))),"Prêt à être dilué / administré (hypothèse)","Reconstitution nécessaire (hypothèse)"))</x:f>
        <x:v>Reconstitution nécessaire (hypothèse)</x:v>
      </x:c>
      <x:c r="Y93" t="str">
        <x:f>IF(A93="","",IF(ISNUMBER(SEARCH("Reconstitution",X93)),"Flacon/poudre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3" t="n">
        <x:f>IF(A93="","",IF(ISNUMBER(SEARCH("Reconstitution",X93)),1,0))</x:f>
        <x:v>1</x:v>
      </x:c>
      <x:c r="AA93" t="str">
        <x:f>IF(Z93&gt;0,"SERINGUE_PP_24ML","")</x:f>
        <x:v>SERINGUE_PP_24ML</x:v>
      </x:c>
      <x:c r="AB93" s="48" t="n">
        <x:f>IF(Z93&gt;0,Z93*VLOOKUP(AA93,FACTEURS_ITEMS!$A$3:$J$30,4,FALSE),0)</x:f>
        <x:v>0.069</x:v>
      </x:c>
      <x:c r="AC93" t="n">
        <x:f>IF(A93="","",IF(ISNUMBER(SEARCH("Reconstitution",X93)),1,0))</x:f>
        <x:v>1</x:v>
      </x:c>
      <x:c r="AD93" t="str">
        <x:f>IF(AC93&gt;0,"AIGUILLE_RECONSTITUTION","")</x:f>
        <x:v>AIGUILLE_RECONSTITUTION</x:v>
      </x:c>
      <x:c r="AE93" s="48" t="n">
        <x:f>IF(AC93&gt;0,AC93*VLOOKUP(AD93,FACTEURS_ITEMS!$A$3:$J$30,4,FALSE),0)</x:f>
        <x:v>0.01</x:v>
      </x:c>
      <x:c r="AF93" s="48" t="n">
        <x:f>IF(A93="","",AB93+AE93)</x:f>
        <x:v>0.079</x:v>
      </x:c>
      <x:c r="AG93" s="48" t="n">
        <x:f>IF(A93="","",S93+AF93)</x:f>
        <x:v>0.262125</x:v>
      </x:c>
      <x:c r="AH93" t="str">
        <x:f>IF(A93="","",IF(AF93&gt;0,"ACV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4">
      <x:c r="A94" s="49" t="str">
        <x:v>Témocilline</x:v>
      </x:c>
      <x:c r="B94" s="49" t="str">
        <x:v>Flacon 2 g</x:v>
      </x:c>
      <x:c r="C94" s="49" t="str">
        <x:v>flacon verre</x:v>
      </x:c>
      <x:c r="D94" s="49" t="str">
        <x:v>Témocilline</x:v>
      </x:c>
      <x:c r="E94" s="49" t="n">
        <x:v>2000</x:v>
      </x:c>
      <x:c r="F94" s="49" t="str"/>
      <x:c r="G94" s="49"/>
      <x:c r="H94" s="49" t="str"/>
      <x:c r="I94" s="49"/>
      <x:c r="J94" s="49" t="n">
        <x:f>IFERROR(SUM(E94,G94,I94)/1000,"")</x:f>
        <x:v>2</x:v>
      </x:c>
      <x:c r="K94" s="49" t="n">
        <x:f>$E$4</x:f>
        <x:v>100</x:v>
      </x:c>
      <x:c r="L94" s="49" t="n">
        <x:f>IF(J94="","",J94/1000*K94*(1+$E$5/100))</x:f>
        <x:v>0.21000000000000002</x:v>
      </x:c>
      <x:c r="M94" s="49" t="n">
        <x:f>IF(J94="","",J94/1000*$E$6)</x:f>
        <x:v>0.00019</x:v>
      </x:c>
      <x:c r="N94" s="49" t="n">
        <x:f>IF(C94="ampoule verre",$E$12,IF(C94="poche PEA",$E$13,$E$11))</x:f>
        <x:v>10</x:v>
      </x:c>
      <x:c r="O94" s="49" t="n">
        <x:f>IF(C94="ampoule verre",$E$8,IF(C94="poche PEA",$E$9,$E$7))</x:f>
        <x:v>7.1</x:v>
      </x:c>
      <x:c r="P94" s="49" t="n">
        <x:f>N94/1000*O94*(1+$E$5/100)</x:f>
        <x:v>0.07454999999999999</x:v>
      </x:c>
      <x:c r="Q94" s="49" t="n">
        <x:f>$E$14</x:f>
        <x:v>3</x:v>
      </x:c>
      <x:c r="R94" s="49" t="n">
        <x:f>Q94/1000*$E$10</x:f>
        <x:v>0.00348</x:v>
      </x:c>
      <x:c r="S94" s="49" t="n">
        <x:f>IF(J94="","",SUM(L94:M94,P94,R94))</x:f>
        <x:v>0.28822</x:v>
      </x:c>
      <x:c r="T94" s="49" t="str">
        <x:f>IF(OR(J94="",K94=$E$4),"Élevé - FE PA générique",IF(W94&lt;&gt;"","À vérifier","Moyen"))</x:f>
        <x:v>Élevé - FE PA générique</x:v>
      </x:c>
      <x:c r="U94" s="49" t="str">
        <x:v>Breaking Stab</x:v>
      </x:c>
      <x:c r="V94" s="49" t="str">
        <x:v>EcovaMED v0.7 + hypothèses internes explicites</x:v>
      </x:c>
      <x:c r="W94" s="49" t="str"/>
      <x:c r="X94" t="str">
        <x:f>IF(A94="","",IF(OR(ISNUMBER(SEARCH("poche",C94)),ISNUMBER(SEARCH("ampoule",C94)),ISNUMBER(SEARCH("plastique",C94))),"Prêt à être dilué / administré (hypothèse)","Reconstitution nécessaire (hypothèse)"))</x:f>
        <x:v>Reconstitution nécessaire (hypothèse)</x:v>
      </x:c>
      <x:c r="Y94" t="str">
        <x:f>IF(A94="","",IF(ISNUMBER(SEARCH("Reconstitution",X94)),"Flacon/poudre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4" t="n">
        <x:f>IF(A94="","",IF(ISNUMBER(SEARCH("Reconstitution",X94)),1,0))</x:f>
        <x:v>1</x:v>
      </x:c>
      <x:c r="AA94" t="str">
        <x:f>IF(Z94&gt;0,"SERINGUE_PP_24ML","")</x:f>
        <x:v>SERINGUE_PP_24ML</x:v>
      </x:c>
      <x:c r="AB94" s="48" t="n">
        <x:f>IF(Z94&gt;0,Z94*VLOOKUP(AA94,FACTEURS_ITEMS!$A$3:$J$30,4,FALSE),0)</x:f>
        <x:v>0.069</x:v>
      </x:c>
      <x:c r="AC94" t="n">
        <x:f>IF(A94="","",IF(ISNUMBER(SEARCH("Reconstitution",X94)),1,0))</x:f>
        <x:v>1</x:v>
      </x:c>
      <x:c r="AD94" t="str">
        <x:f>IF(AC94&gt;0,"AIGUILLE_RECONSTITUTION","")</x:f>
        <x:v>AIGUILLE_RECONSTITUTION</x:v>
      </x:c>
      <x:c r="AE94" s="48" t="n">
        <x:f>IF(AC94&gt;0,AC94*VLOOKUP(AD94,FACTEURS_ITEMS!$A$3:$J$30,4,FALSE),0)</x:f>
        <x:v>0.01</x:v>
      </x:c>
      <x:c r="AF94" s="48" t="n">
        <x:f>IF(A94="","",AB94+AE94)</x:f>
        <x:v>0.079</x:v>
      </x:c>
      <x:c r="AG94" s="48" t="n">
        <x:f>IF(A94="","",S94+AF94)</x:f>
        <x:v>0.36722</x:v>
      </x:c>
      <x:c r="AH94" t="str">
        <x:f>IF(A94="","",IF(AF94&gt;0,"ACV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5">
      <x:c r="A95" s="49" t="str">
        <x:v>Ticarcilline</x:v>
      </x:c>
      <x:c r="B95" s="49" t="str">
        <x:v>Flacon 1 g</x:v>
      </x:c>
      <x:c r="C95" s="49" t="str">
        <x:v>flacon verre</x:v>
      </x:c>
      <x:c r="D95" s="49" t="str">
        <x:v>Ticarcilline</x:v>
      </x:c>
      <x:c r="E95" s="49" t="n">
        <x:v>1000</x:v>
      </x:c>
      <x:c r="F95" s="49" t="str"/>
      <x:c r="G95" s="49"/>
      <x:c r="H95" s="49" t="str"/>
      <x:c r="I95" s="49"/>
      <x:c r="J95" s="49" t="n">
        <x:f>IFERROR(SUM(E95,G95,I95)/1000,"")</x:f>
        <x:v>1</x:v>
      </x:c>
      <x:c r="K95" s="49" t="n">
        <x:f>$E$4</x:f>
        <x:v>100</x:v>
      </x:c>
      <x:c r="L95" s="49" t="n">
        <x:f>IF(J95="","",J95/1000*K95*(1+$E$5/100))</x:f>
        <x:v>0.10500000000000001</x:v>
      </x:c>
      <x:c r="M95" s="49" t="n">
        <x:f>IF(J95="","",J95/1000*$E$6)</x:f>
        <x:v>0.000095</x:v>
      </x:c>
      <x:c r="N95" s="49" t="n">
        <x:f>IF(C95="ampoule verre",$E$12,IF(C95="poche PEA",$E$13,$E$11))</x:f>
        <x:v>10</x:v>
      </x:c>
      <x:c r="O95" s="49" t="n">
        <x:f>IF(C95="ampoule verre",$E$8,IF(C95="poche PEA",$E$9,$E$7))</x:f>
        <x:v>7.1</x:v>
      </x:c>
      <x:c r="P95" s="49" t="n">
        <x:f>N95/1000*O95*(1+$E$5/100)</x:f>
        <x:v>0.07454999999999999</x:v>
      </x:c>
      <x:c r="Q95" s="49" t="n">
        <x:f>$E$14</x:f>
        <x:v>3</x:v>
      </x:c>
      <x:c r="R95" s="49" t="n">
        <x:f>Q95/1000*$E$10</x:f>
        <x:v>0.00348</x:v>
      </x:c>
      <x:c r="S95" s="49" t="n">
        <x:f>IF(J95="","",SUM(L95:M95,P95,R95))</x:f>
        <x:v>0.183125</x:v>
      </x:c>
      <x:c r="T95" s="49" t="str">
        <x:f>IF(OR(J95="",K95=$E$4),"Élevé - FE PA générique",IF(W95&lt;&gt;"","À vérifier","Moyen"))</x:f>
        <x:v>Élevé - FE PA générique</x:v>
      </x:c>
      <x:c r="U95" s="49" t="str">
        <x:v>Micrel/Breaking Stab</x:v>
      </x:c>
      <x:c r="V95" s="49" t="str">
        <x:v>EcovaMED v0.7 + hypothèses internes explicites</x:v>
      </x:c>
      <x:c r="W95" s="49" t="str"/>
      <x:c r="X95" t="str">
        <x:f>IF(A95="","",IF(OR(ISNUMBER(SEARCH("poche",C95)),ISNUMBER(SEARCH("ampoule",C95)),ISNUMBER(SEARCH("plastique",C95))),"Prêt à être dilué / administré (hypothèse)","Reconstitution nécessaire (hypothèse)"))</x:f>
        <x:v>Reconstitution nécessaire (hypothèse)</x:v>
      </x:c>
      <x:c r="Y95" t="str">
        <x:f>IF(A95="","",IF(ISNUMBER(SEARCH("Reconstitution",X95)),"Flacon/poudre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5" t="n">
        <x:f>IF(A95="","",IF(ISNUMBER(SEARCH("Reconstitution",X95)),1,0))</x:f>
        <x:v>1</x:v>
      </x:c>
      <x:c r="AA95" t="str">
        <x:f>IF(Z95&gt;0,"SERINGUE_PP_24ML","")</x:f>
        <x:v>SERINGUE_PP_24ML</x:v>
      </x:c>
      <x:c r="AB95" s="48" t="n">
        <x:f>IF(Z95&gt;0,Z95*VLOOKUP(AA95,FACTEURS_ITEMS!$A$3:$J$30,4,FALSE),0)</x:f>
        <x:v>0.069</x:v>
      </x:c>
      <x:c r="AC95" t="n">
        <x:f>IF(A95="","",IF(ISNUMBER(SEARCH("Reconstitution",X95)),1,0))</x:f>
        <x:v>1</x:v>
      </x:c>
      <x:c r="AD95" t="str">
        <x:f>IF(AC95&gt;0,"AIGUILLE_RECONSTITUTION","")</x:f>
        <x:v>AIGUILLE_RECONSTITUTION</x:v>
      </x:c>
      <x:c r="AE95" s="48" t="n">
        <x:f>IF(AC95&gt;0,AC95*VLOOKUP(AD95,FACTEURS_ITEMS!$A$3:$J$30,4,FALSE),0)</x:f>
        <x:v>0.01</x:v>
      </x:c>
      <x:c r="AF95" s="48" t="n">
        <x:f>IF(A95="","",AB95+AE95)</x:f>
        <x:v>0.079</x:v>
      </x:c>
      <x:c r="AG95" s="48" t="n">
        <x:f>IF(A95="","",S95+AF95)</x:f>
        <x:v>0.262125</x:v>
      </x:c>
      <x:c r="AH95" t="str">
        <x:f>IF(A95="","",IF(AF95&gt;0,"ACV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6">
      <x:c r="A96" s="49" t="str">
        <x:v>Ticarcilline/acide clavulanique</x:v>
      </x:c>
      <x:c r="B96" s="49" t="str">
        <x:v>Flacon 3 g/100 mg</x:v>
      </x:c>
      <x:c r="C96" s="49" t="str">
        <x:v>flacon verre</x:v>
      </x:c>
      <x:c r="D96" s="49" t="str">
        <x:v>Ticarcilline</x:v>
      </x:c>
      <x:c r="E96" s="49" t="n">
        <x:v>3000</x:v>
      </x:c>
      <x:c r="F96" s="49" t="str">
        <x:v>Acide clavulanique</x:v>
      </x:c>
      <x:c r="G96" s="49" t="n">
        <x:v>100</x:v>
      </x:c>
      <x:c r="H96" s="49" t="str"/>
      <x:c r="I96" s="49"/>
      <x:c r="J96" s="49" t="n">
        <x:f>IFERROR(SUM(E96,G96,I96)/1000,"")</x:f>
        <x:v>3.1</x:v>
      </x:c>
      <x:c r="K96" s="49" t="n">
        <x:f>$E$4</x:f>
        <x:v>100</x:v>
      </x:c>
      <x:c r="L96" s="49" t="n">
        <x:f>IF(J96="","",J96/1000*K96*(1+$E$5/100))</x:f>
        <x:v>0.3255</x:v>
      </x:c>
      <x:c r="M96" s="49" t="n">
        <x:f>IF(J96="","",J96/1000*$E$6)</x:f>
        <x:v>0.0002945</x:v>
      </x:c>
      <x:c r="N96" s="49" t="n">
        <x:f>IF(C96="ampoule verre",$E$12,IF(C96="poche PEA",$E$13,$E$11))</x:f>
        <x:v>10</x:v>
      </x:c>
      <x:c r="O96" s="49" t="n">
        <x:f>IF(C96="ampoule verre",$E$8,IF(C96="poche PEA",$E$9,$E$7))</x:f>
        <x:v>7.1</x:v>
      </x:c>
      <x:c r="P96" s="49" t="n">
        <x:f>N96/1000*O96*(1+$E$5/100)</x:f>
        <x:v>0.07454999999999999</x:v>
      </x:c>
      <x:c r="Q96" s="49" t="n">
        <x:f>$E$14</x:f>
        <x:v>3</x:v>
      </x:c>
      <x:c r="R96" s="49" t="n">
        <x:f>Q96/1000*$E$10</x:f>
        <x:v>0.00348</x:v>
      </x:c>
      <x:c r="S96" s="49" t="n">
        <x:f>IF(J96="","",SUM(L96:M96,P96,R96))</x:f>
        <x:v>0.4038245</x:v>
      </x:c>
      <x:c r="T96" s="49" t="str">
        <x:f>IF(OR(J96="",K96=$E$4),"Élevé - FE PA générique",IF(W96&lt;&gt;"","À vérifier","Moyen"))</x:f>
        <x:v>Élevé - FE PA générique</x:v>
      </x:c>
      <x:c r="U96" s="49" t="str">
        <x:v>Micrel/Breaking Stab</x:v>
      </x:c>
      <x:c r="V96" s="49" t="str">
        <x:v>EcovaMED v0.7 + hypothèses internes explicites</x:v>
      </x:c>
      <x:c r="W96" s="49" t="str"/>
      <x:c r="X96" t="str">
        <x:f>IF(A96="","",IF(OR(ISNUMBER(SEARCH("poche",C96)),ISNUMBER(SEARCH("ampoule",C96)),ISNUMBER(SEARCH("plastique",C96))),"Prêt à être dilué / administré (hypothèse)","Reconstitution nécessaire (hypothèse)"))</x:f>
        <x:v>Reconstitution nécessaire (hypothèse)</x:v>
      </x:c>
      <x:c r="Y96" t="str">
        <x:f>IF(A96="","",IF(ISNUMBER(SEARCH("Reconstitution",X96)),"Flacon/poudre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6" t="n">
        <x:f>IF(A96="","",IF(ISNUMBER(SEARCH("Reconstitution",X96)),1,0))</x:f>
        <x:v>1</x:v>
      </x:c>
      <x:c r="AA96" t="str">
        <x:f>IF(Z96&gt;0,"SERINGUE_PP_24ML","")</x:f>
        <x:v>SERINGUE_PP_24ML</x:v>
      </x:c>
      <x:c r="AB96" s="48" t="n">
        <x:f>IF(Z96&gt;0,Z96*VLOOKUP(AA96,FACTEURS_ITEMS!$A$3:$J$30,4,FALSE),0)</x:f>
        <x:v>0.069</x:v>
      </x:c>
      <x:c r="AC96" t="n">
        <x:f>IF(A96="","",IF(ISNUMBER(SEARCH("Reconstitution",X96)),1,0))</x:f>
        <x:v>1</x:v>
      </x:c>
      <x:c r="AD96" t="str">
        <x:f>IF(AC96&gt;0,"AIGUILLE_RECONSTITUTION","")</x:f>
        <x:v>AIGUILLE_RECONSTITUTION</x:v>
      </x:c>
      <x:c r="AE96" s="48" t="n">
        <x:f>IF(AC96&gt;0,AC96*VLOOKUP(AD96,FACTEURS_ITEMS!$A$3:$J$30,4,FALSE),0)</x:f>
        <x:v>0.01</x:v>
      </x:c>
      <x:c r="AF96" s="48" t="n">
        <x:f>IF(A96="","",AB96+AE96)</x:f>
        <x:v>0.079</x:v>
      </x:c>
      <x:c r="AG96" s="48" t="n">
        <x:f>IF(A96="","",S96+AF96)</x:f>
        <x:v>0.4828245</x:v>
      </x:c>
      <x:c r="AH96" t="str">
        <x:f>IF(A96="","",IF(AF96&gt;0,"ACV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7">
      <x:c r="A97" s="49" t="str">
        <x:v>Tobramycine</x:v>
      </x:c>
      <x:c r="B97" s="49" t="str">
        <x:v>Ampoule 75 mg</x:v>
      </x:c>
      <x:c r="C97" s="49" t="str">
        <x:v>ampoule verre</x:v>
      </x:c>
      <x:c r="D97" s="49" t="str">
        <x:v>Tobramycine</x:v>
      </x:c>
      <x:c r="E97" s="49" t="n">
        <x:v>75</x:v>
      </x:c>
      <x:c r="F97" s="49" t="str"/>
      <x:c r="G97" s="49"/>
      <x:c r="H97" s="49" t="str"/>
      <x:c r="I97" s="49"/>
      <x:c r="J97" s="49" t="n">
        <x:f>IFERROR(SUM(E97,G97,I97)/1000,"")</x:f>
        <x:v>0.075</x:v>
      </x:c>
      <x:c r="K97" s="49" t="n">
        <x:f>$E$4</x:f>
        <x:v>100</x:v>
      </x:c>
      <x:c r="L97" s="49" t="n">
        <x:f>IF(J97="","",J97/1000*K97*(1+$E$5/100))</x:f>
        <x:v>0.007875</x:v>
      </x:c>
      <x:c r="M97" s="49" t="n">
        <x:f>IF(J97="","",J97/1000*$E$6)</x:f>
        <x:v>0.0000071249999999999995</x:v>
      </x:c>
      <x:c r="N97" s="49" t="n">
        <x:f>IF(C97="ampoule verre",$E$12,IF(C97="poche PEA",$E$13,$E$11))</x:f>
        <x:v>5</x:v>
      </x:c>
      <x:c r="O97" s="49" t="n">
        <x:f>IF(C97="ampoule verre",$E$8,IF(C97="poche PEA",$E$9,$E$7))</x:f>
        <x:v>5</x:v>
      </x:c>
      <x:c r="P97" s="49" t="n">
        <x:f>N97/1000*O97*(1+$E$5/100)</x:f>
        <x:v>0.026250000000000002</x:v>
      </x:c>
      <x:c r="Q97" s="49" t="n">
        <x:f>$E$14</x:f>
        <x:v>3</x:v>
      </x:c>
      <x:c r="R97" s="49" t="n">
        <x:f>Q97/1000*$E$10</x:f>
        <x:v>0.00348</x:v>
      </x:c>
      <x:c r="S97" s="49" t="n">
        <x:f>IF(J97="","",SUM(L97:M97,P97,R97))</x:f>
        <x:v>0.037612124999999996</x:v>
      </x:c>
      <x:c r="T97" s="49" t="str">
        <x:f>IF(OR(J97="",K97=$E$4),"Élevé - FE PA générique",IF(W97&lt;&gt;"","À vérifier","Moyen"))</x:f>
        <x:v>Élevé - FE PA générique</x:v>
      </x:c>
      <x:c r="U97" s="49" t="str">
        <x:v>Micrel/Breaking Stab</x:v>
      </x:c>
      <x:c r="V97" s="49" t="str">
        <x:v>EcovaMED v0.7 + hypothèses internes explicites</x:v>
      </x:c>
      <x:c r="W97" s="49" t="str"/>
      <x:c r="X97" t="str">
        <x:f>IF(A97="","",IF(OR(ISNUMBER(SEARCH("poche",C97)),ISNUMBER(SEARCH("ampoule",C97)),ISNUMBER(SEARCH("plastique",C97))),"Prêt à être dilué / administré (hypothèse)","Reconstitution nécessaire (hypothèse)"))</x:f>
        <x:v>Prêt à être dilué / administré (hypothèse)</x:v>
      </x:c>
      <x:c r="Y97" t="str">
        <x:f>IF(A97="","",IF(ISNUMBER(SEARCH("Reconstitution",X97)),"Flacon/poudre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97" t="n">
        <x:f>IF(A97="","",IF(ISNUMBER(SEARCH("Reconstitution",X97)),1,0))</x:f>
        <x:v>0</x:v>
      </x:c>
      <x:c r="AA97" t="str">
        <x:f>IF(Z97&gt;0,"SERINGUE_PP_24ML","")</x:f>
      </x:c>
      <x:c r="AB97" s="48" t="n">
        <x:f>IF(Z97&gt;0,Z97*VLOOKUP(AA97,FACTEURS_ITEMS!$A$3:$J$30,4,FALSE),0)</x:f>
        <x:v>0</x:v>
      </x:c>
      <x:c r="AC97" t="n">
        <x:f>IF(A97="","",IF(ISNUMBER(SEARCH("Reconstitution",X97)),1,0))</x:f>
        <x:v>0</x:v>
      </x:c>
      <x:c r="AD97" t="str">
        <x:f>IF(AC97&gt;0,"AIGUILLE_RECONSTITUTION","")</x:f>
      </x:c>
      <x:c r="AE97" s="48" t="n">
        <x:f>IF(AC97&gt;0,AC97*VLOOKUP(AD97,FACTEURS_ITEMS!$A$3:$J$30,4,FALSE),0)</x:f>
        <x:v>0</x:v>
      </x:c>
      <x:c r="AF97" s="48" t="n">
        <x:f>IF(A97="","",AB97+AE97)</x:f>
        <x:v>0</x:v>
      </x:c>
      <x:c r="AG97" s="48" t="n">
        <x:f>IF(A97="","",S97+AF97)</x:f>
        <x:v>0.037612124999999996</x:v>
      </x:c>
      <x:c r="AH97" t="str">
        <x:f>IF(A97="","",IF(AF97&gt;0,"ACV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98">
      <x:c r="A98" s="49" t="str">
        <x:v>Tobramycine</x:v>
      </x:c>
      <x:c r="B98" s="49" t="str">
        <x:v>Ampoule 150 mg</x:v>
      </x:c>
      <x:c r="C98" s="49" t="str">
        <x:v>ampoule verre</x:v>
      </x:c>
      <x:c r="D98" s="49" t="str">
        <x:v>Tobramycine</x:v>
      </x:c>
      <x:c r="E98" s="49" t="n">
        <x:v>150</x:v>
      </x:c>
      <x:c r="F98" s="49" t="str"/>
      <x:c r="G98" s="49"/>
      <x:c r="H98" s="49" t="str"/>
      <x:c r="I98" s="49"/>
      <x:c r="J98" s="49" t="n">
        <x:f>IFERROR(SUM(E98,G98,I98)/1000,"")</x:f>
        <x:v>0.15</x:v>
      </x:c>
      <x:c r="K98" s="49" t="n">
        <x:f>$E$4</x:f>
        <x:v>100</x:v>
      </x:c>
      <x:c r="L98" s="49" t="n">
        <x:f>IF(J98="","",J98/1000*K98*(1+$E$5/100))</x:f>
        <x:v>0.01575</x:v>
      </x:c>
      <x:c r="M98" s="49" t="n">
        <x:f>IF(J98="","",J98/1000*$E$6)</x:f>
        <x:v>0.000014249999999999999</x:v>
      </x:c>
      <x:c r="N98" s="49" t="n">
        <x:f>IF(C98="ampoule verre",$E$12,IF(C98="poche PEA",$E$13,$E$11))</x:f>
        <x:v>5</x:v>
      </x:c>
      <x:c r="O98" s="49" t="n">
        <x:f>IF(C98="ampoule verre",$E$8,IF(C98="poche PEA",$E$9,$E$7))</x:f>
        <x:v>5</x:v>
      </x:c>
      <x:c r="P98" s="49" t="n">
        <x:f>N98/1000*O98*(1+$E$5/100)</x:f>
        <x:v>0.026250000000000002</x:v>
      </x:c>
      <x:c r="Q98" s="49" t="n">
        <x:f>$E$14</x:f>
        <x:v>3</x:v>
      </x:c>
      <x:c r="R98" s="49" t="n">
        <x:f>Q98/1000*$E$10</x:f>
        <x:v>0.00348</x:v>
      </x:c>
      <x:c r="S98" s="49" t="n">
        <x:f>IF(J98="","",SUM(L98:M98,P98,R98))</x:f>
        <x:v>0.04549425</x:v>
      </x:c>
      <x:c r="T98" s="49" t="str">
        <x:f>IF(OR(J98="",K98=$E$4),"Élevé - FE PA générique",IF(W98&lt;&gt;"","À vérifier","Moyen"))</x:f>
        <x:v>Élevé - FE PA générique</x:v>
      </x:c>
      <x:c r="U98" s="49" t="str">
        <x:v>Micrel/Breaking Stab</x:v>
      </x:c>
      <x:c r="V98" s="49" t="str">
        <x:v>EcovaMED v0.7 + hypothèses internes explicites</x:v>
      </x:c>
      <x:c r="W98" s="49" t="str"/>
      <x:c r="X98" t="str">
        <x:f>IF(A98="","",IF(OR(ISNUMBER(SEARCH("poche",C98)),ISNUMBER(SEARCH("ampoule",C98)),ISNUMBER(SEARCH("plastique",C98))),"Prêt à être dilué / administré (hypothèse)","Reconstitution nécessaire (hypothèse)"))</x:f>
        <x:v>Prêt à être dilué / administré (hypothèse)</x:v>
      </x:c>
      <x:c r="Y98" t="str">
        <x:f>IF(A98="","",IF(ISNUMBER(SEARCH("Reconstitution",X98)),"Flacon/poudre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98" t="n">
        <x:f>IF(A98="","",IF(ISNUMBER(SEARCH("Reconstitution",X98)),1,0))</x:f>
        <x:v>0</x:v>
      </x:c>
      <x:c r="AA98" t="str">
        <x:f>IF(Z98&gt;0,"SERINGUE_PP_24ML","")</x:f>
      </x:c>
      <x:c r="AB98" s="48" t="n">
        <x:f>IF(Z98&gt;0,Z98*VLOOKUP(AA98,FACTEURS_ITEMS!$A$3:$J$30,4,FALSE),0)</x:f>
        <x:v>0</x:v>
      </x:c>
      <x:c r="AC98" t="n">
        <x:f>IF(A98="","",IF(ISNUMBER(SEARCH("Reconstitution",X98)),1,0))</x:f>
        <x:v>0</x:v>
      </x:c>
      <x:c r="AD98" t="str">
        <x:f>IF(AC98&gt;0,"AIGUILLE_RECONSTITUTION","")</x:f>
      </x:c>
      <x:c r="AE98" s="48" t="n">
        <x:f>IF(AC98&gt;0,AC98*VLOOKUP(AD98,FACTEURS_ITEMS!$A$3:$J$30,4,FALSE),0)</x:f>
        <x:v>0</x:v>
      </x:c>
      <x:c r="AF98" s="48" t="n">
        <x:f>IF(A98="","",AB98+AE98)</x:f>
        <x:v>0</x:v>
      </x:c>
      <x:c r="AG98" s="48" t="n">
        <x:f>IF(A98="","",S98+AF98)</x:f>
        <x:v>0.04549425</x:v>
      </x:c>
      <x:c r="AH98" t="str">
        <x:f>IF(A98="","",IF(AF98&gt;0,"ACV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99">
      <x:c r="A99" s="49" t="str">
        <x:v>Vancomycine</x:v>
      </x:c>
      <x:c r="B99" s="49" t="str">
        <x:v>Flacon 500 mg</x:v>
      </x:c>
      <x:c r="C99" s="49" t="str">
        <x:v>flacon verre</x:v>
      </x:c>
      <x:c r="D99" s="49" t="str">
        <x:v>Vancomycine</x:v>
      </x:c>
      <x:c r="E99" s="49" t="n">
        <x:v>500</x:v>
      </x:c>
      <x:c r="F99" s="49" t="str"/>
      <x:c r="G99" s="49"/>
      <x:c r="H99" s="49" t="str"/>
      <x:c r="I99" s="49"/>
      <x:c r="J99" s="49" t="n">
        <x:f>IFERROR(SUM(E99,G99,I99)/1000,"")</x:f>
        <x:v>0.5</x:v>
      </x:c>
      <x:c r="K99" s="49" t="n">
        <x:f>$E$4</x:f>
        <x:v>100</x:v>
      </x:c>
      <x:c r="L99" s="49" t="n">
        <x:f>IF(J99="","",J99/1000*K99*(1+$E$5/100))</x:f>
        <x:v>0.052500000000000005</x:v>
      </x:c>
      <x:c r="M99" s="49" t="n">
        <x:f>IF(J99="","",J99/1000*$E$6)</x:f>
        <x:v>0.0000475</x:v>
      </x:c>
      <x:c r="N99" s="49" t="n">
        <x:f>IF(C99="ampoule verre",$E$12,IF(C99="poche PEA",$E$13,$E$11))</x:f>
        <x:v>10</x:v>
      </x:c>
      <x:c r="O99" s="49" t="n">
        <x:f>IF(C99="ampoule verre",$E$8,IF(C99="poche PEA",$E$9,$E$7))</x:f>
        <x:v>7.1</x:v>
      </x:c>
      <x:c r="P99" s="49" t="n">
        <x:f>N99/1000*O99*(1+$E$5/100)</x:f>
        <x:v>0.07454999999999999</x:v>
      </x:c>
      <x:c r="Q99" s="49" t="n">
        <x:f>$E$14</x:f>
        <x:v>3</x:v>
      </x:c>
      <x:c r="R99" s="49" t="n">
        <x:f>Q99/1000*$E$10</x:f>
        <x:v>0.00348</x:v>
      </x:c>
      <x:c r="S99" s="49" t="n">
        <x:f>IF(J99="","",SUM(L99:M99,P99,R99))</x:f>
        <x:v>0.1305775</x:v>
      </x:c>
      <x:c r="T99" s="49" t="str">
        <x:f>IF(OR(J99="",K99=$E$4),"Élevé - FE PA générique",IF(W99&lt;&gt;"","À vérifier","Moyen"))</x:f>
        <x:v>Élevé - FE PA générique</x:v>
      </x:c>
      <x:c r="U99" s="49" t="str">
        <x:v>Breaking Stab</x:v>
      </x:c>
      <x:c r="V99" s="49" t="str">
        <x:v>EcovaMED v0.7 + hypothèses internes explicites</x:v>
      </x:c>
      <x:c r="W99" s="49" t="str"/>
      <x:c r="X99" t="str">
        <x:f>IF(A99="","",IF(OR(ISNUMBER(SEARCH("poche",C99)),ISNUMBER(SEARCH("ampoule",C99)),ISNUMBER(SEARCH("plastique",C99))),"Prêt à être dilué / administré (hypothèse)","Reconstitution nécessaire (hypothèse)"))</x:f>
        <x:v>Reconstitution nécessaire (hypothèse)</x:v>
      </x:c>
      <x:c r="Y99" t="str">
        <x:f>IF(A99="","",IF(ISNUMBER(SEARCH("Reconstitution",X99)),"Flacon/poudre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9" t="n">
        <x:f>IF(A99="","",IF(ISNUMBER(SEARCH("Reconstitution",X99)),1,0))</x:f>
        <x:v>1</x:v>
      </x:c>
      <x:c r="AA99" t="str">
        <x:f>IF(Z99&gt;0,"SERINGUE_PP_24ML","")</x:f>
        <x:v>SERINGUE_PP_24ML</x:v>
      </x:c>
      <x:c r="AB99" s="48" t="n">
        <x:f>IF(Z99&gt;0,Z99*VLOOKUP(AA99,FACTEURS_ITEMS!$A$3:$J$30,4,FALSE),0)</x:f>
        <x:v>0.069</x:v>
      </x:c>
      <x:c r="AC99" t="n">
        <x:f>IF(A99="","",IF(ISNUMBER(SEARCH("Reconstitution",X99)),1,0))</x:f>
        <x:v>1</x:v>
      </x:c>
      <x:c r="AD99" t="str">
        <x:f>IF(AC99&gt;0,"AIGUILLE_RECONSTITUTION","")</x:f>
        <x:v>AIGUILLE_RECONSTITUTION</x:v>
      </x:c>
      <x:c r="AE99" s="48" t="n">
        <x:f>IF(AC99&gt;0,AC99*VLOOKUP(AD99,FACTEURS_ITEMS!$A$3:$J$30,4,FALSE),0)</x:f>
        <x:v>0.01</x:v>
      </x:c>
      <x:c r="AF99" s="48" t="n">
        <x:f>IF(A99="","",AB99+AE99)</x:f>
        <x:v>0.079</x:v>
      </x:c>
      <x:c r="AG99" s="48" t="n">
        <x:f>IF(A99="","",S99+AF99)</x:f>
        <x:v>0.20957750000000003</x:v>
      </x:c>
      <x:c r="AH99" t="str">
        <x:f>IF(A99="","",IF(AF99&gt;0,"ACV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100">
      <x:c r="A100" s="49" t="str">
        <x:v>Vancomycine</x:v>
      </x:c>
      <x:c r="B100" s="49" t="str">
        <x:v>Flacon 1 g</x:v>
      </x:c>
      <x:c r="C100" s="49" t="str">
        <x:v>flacon verre</x:v>
      </x:c>
      <x:c r="D100" s="49" t="str">
        <x:v>Vancomycine</x:v>
      </x:c>
      <x:c r="E100" s="49" t="n">
        <x:v>1000</x:v>
      </x:c>
      <x:c r="F100" s="49" t="str"/>
      <x:c r="G100" s="49"/>
      <x:c r="H100" s="49" t="str"/>
      <x:c r="I100" s="49"/>
      <x:c r="J100" s="49" t="n">
        <x:f>IFERROR(SUM(E100,G100,I100)/1000,"")</x:f>
        <x:v>1</x:v>
      </x:c>
      <x:c r="K100" s="49" t="n">
        <x:f>$E$4</x:f>
        <x:v>100</x:v>
      </x:c>
      <x:c r="L100" s="49" t="n">
        <x:f>IF(J100="","",J100/1000*K100*(1+$E$5/100))</x:f>
        <x:v>0.10500000000000001</x:v>
      </x:c>
      <x:c r="M100" s="49" t="n">
        <x:f>IF(J100="","",J100/1000*$E$6)</x:f>
        <x:v>0.000095</x:v>
      </x:c>
      <x:c r="N100" s="49" t="n">
        <x:f>IF(C100="ampoule verre",$E$12,IF(C100="poche PEA",$E$13,$E$11))</x:f>
        <x:v>10</x:v>
      </x:c>
      <x:c r="O100" s="49" t="n">
        <x:f>IF(C100="ampoule verre",$E$8,IF(C100="poche PEA",$E$9,$E$7))</x:f>
        <x:v>7.1</x:v>
      </x:c>
      <x:c r="P100" s="49" t="n">
        <x:f>N100/1000*O100*(1+$E$5/100)</x:f>
        <x:v>0.07454999999999999</x:v>
      </x:c>
      <x:c r="Q100" s="49" t="n">
        <x:f>$E$14</x:f>
        <x:v>3</x:v>
      </x:c>
      <x:c r="R100" s="49" t="n">
        <x:f>Q100/1000*$E$10</x:f>
        <x:v>0.00348</x:v>
      </x:c>
      <x:c r="S100" s="49" t="n">
        <x:f>IF(J100="","",SUM(L100:M100,P100,R100))</x:f>
        <x:v>0.183125</x:v>
      </x:c>
      <x:c r="T100" s="49" t="str">
        <x:f>IF(OR(J100="",K100=$E$4),"Élevé - FE PA générique",IF(W100&lt;&gt;"","À vérifier","Moyen"))</x:f>
        <x:v>Élevé - FE PA générique</x:v>
      </x:c>
      <x:c r="U100" s="49" t="str">
        <x:v>Breaking Stab</x:v>
      </x:c>
      <x:c r="V100" s="49" t="str">
        <x:v>EcovaMED v0.7 + hypothèses internes explicites</x:v>
      </x:c>
      <x:c r="W100" s="49" t="str"/>
      <x:c r="X100" t="str">
        <x:f>IF(A100="","",IF(OR(ISNUMBER(SEARCH("poche",C100)),ISNUMBER(SEARCH("ampoule",C100)),ISNUMBER(SEARCH("plastique",C100))),"Prêt à être dilué / administré (hypothèse)","Reconstitution nécessaire (hypothèse)"))</x:f>
        <x:v>Reconstitution nécessaire (hypothèse)</x:v>
      </x:c>
      <x:c r="Y100" t="str">
        <x:f>IF(A100="","",IF(ISNUMBER(SEARCH("Reconstitution",X100)),"Flacon/poudre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100" t="n">
        <x:f>IF(A100="","",IF(ISNUMBER(SEARCH("Reconstitution",X100)),1,0))</x:f>
        <x:v>1</x:v>
      </x:c>
      <x:c r="AA100" t="str">
        <x:f>IF(Z100&gt;0,"SERINGUE_PP_24ML","")</x:f>
        <x:v>SERINGUE_PP_24ML</x:v>
      </x:c>
      <x:c r="AB100" s="48" t="n">
        <x:f>IF(Z100&gt;0,Z100*VLOOKUP(AA100,FACTEURS_ITEMS!$A$3:$J$30,4,FALSE),0)</x:f>
        <x:v>0.069</x:v>
      </x:c>
      <x:c r="AC100" t="n">
        <x:f>IF(A100="","",IF(ISNUMBER(SEARCH("Reconstitution",X100)),1,0))</x:f>
        <x:v>1</x:v>
      </x:c>
      <x:c r="AD100" t="str">
        <x:f>IF(AC100&gt;0,"AIGUILLE_RECONSTITUTION","")</x:f>
        <x:v>AIGUILLE_RECONSTITUTION</x:v>
      </x:c>
      <x:c r="AE100" s="48" t="n">
        <x:f>IF(AC100&gt;0,AC100*VLOOKUP(AD100,FACTEURS_ITEMS!$A$3:$J$30,4,FALSE),0)</x:f>
        <x:v>0.01</x:v>
      </x:c>
      <x:c r="AF100" s="48" t="n">
        <x:f>IF(A100="","",AB100+AE100)</x:f>
        <x:v>0.079</x:v>
      </x:c>
      <x:c r="AG100" s="48" t="n">
        <x:f>IF(A100="","",S100+AF100)</x:f>
        <x:v>0.262125</x:v>
      </x:c>
      <x:c r="AH100" t="str">
        <x:f>IF(A100="","",IF(AF100&gt;0,"ACV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101">
      <x:c r="A101" s="49" t="str">
        <x:v>Voriconazole IV</x:v>
      </x:c>
      <x:c r="B101" s="49" t="str">
        <x:v>Flacon 200 mg</x:v>
      </x:c>
      <x:c r="C101" s="49" t="str">
        <x:v>flacon verre</x:v>
      </x:c>
      <x:c r="D101" s="49" t="str">
        <x:v>Voriconazole</x:v>
      </x:c>
      <x:c r="E101" s="49" t="n">
        <x:v>200</x:v>
      </x:c>
      <x:c r="F101" s="49" t="str"/>
      <x:c r="G101" s="49"/>
      <x:c r="H101" s="49" t="str"/>
      <x:c r="I101" s="49"/>
      <x:c r="J101" s="49" t="n">
        <x:f>IFERROR(SUM(E101,G101,I101)/1000,"")</x:f>
        <x:v>0.2</x:v>
      </x:c>
      <x:c r="K101" s="49" t="n">
        <x:f>$E$4</x:f>
        <x:v>100</x:v>
      </x:c>
      <x:c r="L101" s="49" t="n">
        <x:f>IF(J101="","",J101/1000*K101*(1+$E$5/100))</x:f>
        <x:v>0.021</x:v>
      </x:c>
      <x:c r="M101" s="49" t="n">
        <x:f>IF(J101="","",J101/1000*$E$6)</x:f>
        <x:v>0.000019</x:v>
      </x:c>
      <x:c r="N101" s="49" t="n">
        <x:f>IF(C101="ampoule verre",$E$12,IF(C101="poche PEA",$E$13,$E$11))</x:f>
        <x:v>10</x:v>
      </x:c>
      <x:c r="O101" s="49" t="n">
        <x:f>IF(C101="ampoule verre",$E$8,IF(C101="poche PEA",$E$9,$E$7))</x:f>
        <x:v>7.1</x:v>
      </x:c>
      <x:c r="P101" s="49" t="n">
        <x:f>N101/1000*O101*(1+$E$5/100)</x:f>
        <x:v>0.07454999999999999</x:v>
      </x:c>
      <x:c r="Q101" s="49" t="n">
        <x:f>$E$14</x:f>
        <x:v>3</x:v>
      </x:c>
      <x:c r="R101" s="49" t="n">
        <x:f>Q101/1000*$E$10</x:f>
        <x:v>0.00348</x:v>
      </x:c>
      <x:c r="S101" s="49" t="n">
        <x:f>IF(J101="","",SUM(L101:M101,P101,R101))</x:f>
        <x:v>0.09904899999999998</x:v>
      </x:c>
      <x:c r="T101" s="49" t="str">
        <x:f>IF(OR(J101="",K101=$E$4),"Élevé - FE PA générique",IF(W101&lt;&gt;"","À vérifier","Moyen"))</x:f>
        <x:v>Élevé - FE PA générique</x:v>
      </x:c>
      <x:c r="U101" s="49" t="str">
        <x:v>Breaking Stab</x:v>
      </x:c>
      <x:c r="V101" s="49" t="str">
        <x:v>EcovaMED v0.7 + hypothèses internes explicites</x:v>
      </x:c>
      <x:c r="W101" s="49" t="str"/>
      <x:c r="X101" t="str">
        <x:f>IF(A101="","",IF(OR(ISNUMBER(SEARCH("poche",C101)),ISNUMBER(SEARCH("ampoule",C101)),ISNUMBER(SEARCH("plastique",C101))),"Prêt à être dilué / administré (hypothèse)","Reconstitution nécessaire (hypothèse)"))</x:f>
        <x:v>Reconstitution nécessaire (hypothèse)</x:v>
      </x:c>
      <x:c r="Y101" t="str">
        <x:f>IF(A101="","",IF(ISNUMBER(SEARCH("Reconstitution",X101)),"Flacon/poudre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101" t="n">
        <x:f>IF(A101="","",IF(ISNUMBER(SEARCH("Reconstitution",X101)),1,0))</x:f>
        <x:v>1</x:v>
      </x:c>
      <x:c r="AA101" t="str">
        <x:f>IF(Z101&gt;0,"SERINGUE_PP_24ML","")</x:f>
        <x:v>SERINGUE_PP_24ML</x:v>
      </x:c>
      <x:c r="AB101" s="48" t="n">
        <x:f>IF(Z101&gt;0,Z101*VLOOKUP(AA101,FACTEURS_ITEMS!$A$3:$J$30,4,FALSE),0)</x:f>
        <x:v>0.069</x:v>
      </x:c>
      <x:c r="AC101" t="n">
        <x:f>IF(A101="","",IF(ISNUMBER(SEARCH("Reconstitution",X101)),1,0))</x:f>
        <x:v>1</x:v>
      </x:c>
      <x:c r="AD101" t="str">
        <x:f>IF(AC101&gt;0,"AIGUILLE_RECONSTITUTION","")</x:f>
        <x:v>AIGUILLE_RECONSTITUTION</x:v>
      </x:c>
      <x:c r="AE101" s="48" t="n">
        <x:f>IF(AC101&gt;0,AC101*VLOOKUP(AD101,FACTEURS_ITEMS!$A$3:$J$30,4,FALSE),0)</x:f>
        <x:v>0.01</x:v>
      </x:c>
      <x:c r="AF101" s="48" t="n">
        <x:f>IF(A101="","",AB101+AE101)</x:f>
        <x:v>0.079</x:v>
      </x:c>
      <x:c r="AG101" s="48" t="n">
        <x:f>IF(A101="","",S101+AF101)</x:f>
        <x:v>0.17804899999999999</x:v>
      </x:c>
      <x:c r="AH101" t="str">
        <x:f>IF(A101="","",IF(AF101&gt;0,"ACV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</x:sheetData>
  <x:mergeCells>
    <x:mergeCell ref="A1:M1"/>
  </x:mergeCells>
  <x:conditionalFormatting sqref="S18:S101">
    <x:cfRule type="cellIs" dxfId="7" priority="1">
      <x:formula>""</x:formula>
    </x:cfRule>
  </x:conditionalFormatting>
  <x:conditionalFormatting sqref="T18:T101">
    <x:cfRule type="expression" dxfId="8" priority="2">
      <x:formula>LEFT(T18,5)="Élevé"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ac3f62cdc049a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41.86000061035156" hidden="0" customWidth="1"/>
    <x:col min="2" max="2" width="94.88999938964844" hidden="0" customWidth="1"/>
    <x:col min="3" max="3" width="85.7300033569336" hidden="0" customWidth="1"/>
    <x:col min="4" max="4" width="79.68000030517578" hidden="0" customWidth="1"/>
  </x:cols>
  <x:sheetData>
    <x:row r="1">
      <x:c r="A1" s="64" t="str">
        <x:v>LOGIQUE DE CALCUL — coût € et kg eq CO₂ par jour</x:v>
      </x:c>
      <x:c r="B1" s="64"/>
      <x:c r="C1" s="64"/>
      <x:c r="D1" s="64"/>
    </x:row>
    <x:row r="2">
      <x:c r="A2" s="3" t="str">
        <x:v>Objectif</x:v>
      </x:c>
      <x:c r="B2" s="3" t="str">
        <x:v>Décrire simplement ce que fait l’outil pour que la méthode soit challengée/validée.</x:v>
      </x:c>
      <x:c r="C2" s="3"/>
      <x:c r="D2" s="3"/>
    </x:row>
    <x:row r="3">
      <x:c r="A3" s="3"/>
      <x:c r="B3" s="3"/>
      <x:c r="C3" s="3"/>
      <x:c r="D3" s="3"/>
    </x:row>
    <x:row r="4">
      <x:c r="A4" s="65" t="str">
        <x:v>Étape</x:v>
      </x:c>
      <x:c r="B4" s="65" t="str">
        <x:v>Calcul</x:v>
      </x:c>
      <x:c r="C4" s="65" t="str">
        <x:v>Règle appliquée</x:v>
      </x:c>
      <x:c r="D4" s="65" t="str">
        <x:v>Exemple / commentaire</x:v>
      </x:c>
    </x:row>
    <x:row r="5">
      <x:c r="A5" s="3" t="str">
        <x:v>1. Génération option</x:v>
      </x:c>
      <x:c r="B5" s="3" t="str">
        <x:v>Le moteur inversé propose une méthode compatible.</x:v>
      </x:c>
      <x:c r="C5" s="3" t="str">
        <x:v>Méthode + solvant + volume + fréquence par jour sont générés par la stabilité et la concentration.</x:v>
      </x:c>
      <x:c r="D5" s="3" t="str">
        <x:v>Ex : PSE 48 mL q12h = 2 administrations/changements par jour.</x:v>
      </x:c>
    </x:row>
    <x:row r="6">
      <x:c r="A6" s="3" t="str">
        <x:v>2. Nombre d’administrations</x:v>
      </x:c>
      <x:c r="B6" s="3" t="str">
        <x:v>nb_administrations_jour = fréquence générée par l’outil.</x:v>
      </x:c>
      <x:c r="C6" s="3" t="str">
        <x:v>Tout ce qui est consommé par administration est multiplié par ce nombre.</x:v>
      </x:c>
      <x:c r="D6" s="3" t="str">
        <x:v>HAD : le nombre de passages IDEL/jour = nombre d’administrations/changements/jour.</x:v>
      </x:c>
    </x:row>
    <x:row r="7">
      <x:c r="A7" s="3" t="str">
        <x:v>3. DM de perfusion</x:v>
      </x:c>
      <x:c r="B7" s="3" t="str">
        <x:v>Le logiciel lit MATERIEL_PAR_METHODE.</x:v>
      </x:c>
      <x:c r="C7" s="3" t="str">
        <x:v>Il ajoute le DM principal + tubulures/prolongateurs spécifiques + rinçage + étiquette selon methode_id.</x:v>
      </x:c>
      <x:c r="D7" s="3" t="str">
        <x:v>Rythmic = DM captif ; ANAPA/NEOPUMP = DM unique ; poche = poche + perfuseur/tubulure.</x:v>
      </x:c>
    </x:row>
    <x:row r="8">
      <x:c r="A8" s="3" t="str">
        <x:v>4. Solvant final</x:v>
      </x:c>
      <x:c r="B8" s="3" t="str">
        <x:v>POCHE_NACL_G5_VARIABLE est résolu en poche 50/100/250/500 mL.</x:v>
      </x:c>
      <x:c r="C8" s="3" t="str">
        <x:v>Toujours la plus petite poche compatible proposée par le moteur pour le solvant choisi.</x:v>
      </x:c>
      <x:c r="D8" s="3" t="str">
        <x:v>Ce choix est déjà simplifié dans l’affichage : plus petit volume visible, bouton + pour autres volumes.</x:v>
      </x:c>
    </x:row>
    <x:row r="9">
      <x:c r="A9" s="3" t="str">
        <x:v>5. Flacons médicament</x:v>
      </x:c>
      <x:c r="B9" s="3" t="str">
        <x:v>Dose par administration = dose journalière / nb_administrations_jour.</x:v>
      </x:c>
      <x:c r="C9" s="3" t="str">
        <x:v>Les flacons sont arrondis par administration, puis multipliés par nb_administrations_jour.</x:v>
      </x:c>
      <x:c r="D9" s="3" t="str">
        <x:v>Ex : 4,5 g/j en 3 adm avec flacons 1 g : 2 flacons/adm × 3 = 6 flacons/j.</x:v>
      </x:c>
    </x:row>
    <x:row r="10">
      <x:c r="A10" s="3" t="str">
        <x:v>6. Reconstitution</x:v>
      </x:c>
      <x:c r="B10" s="3" t="str">
        <x:v>Si statut_preparation indique reconstitution/poudre/flacon, ajout de DM de reconstitution.</x:v>
      </x:c>
      <x:c r="C10" s="3" t="str">
        <x:v>Par flacon : seringue + aiguille + lingette/compresse + solvant 10 mL selon paramètres et colonnes ACV ATB.</x:v>
      </x:c>
      <x:c r="D10" s="3" t="str">
        <x:v>Les DM de reconstitution sont multipliés par le nombre total de flacons/jour.</x:v>
      </x:c>
    </x:row>
    <x:row r="11">
      <x:c r="A11" s="3" t="str">
        <x:v>7. Prêt à être dilué</x:v>
      </x:c>
      <x:c r="B11" s="3" t="str">
        <x:v>Si présentation ampoule/poche/prête à l’emploi, aucun DM de reconstitution n’est ajouté.</x:v>
      </x:c>
      <x:c r="C11" s="3" t="str">
        <x:v>Les DM de perfusion restent comptés normalement.</x:v>
      </x:c>
      <x:c r="D11" s="3" t="str">
        <x:v>Ex : ampoule prête à diluer = flacon/ampoule compté, mais pas seringue+aiguille de reconstitution.</x:v>
      </x:c>
    </x:row>
    <x:row r="12">
      <x:c r="A12" s="3" t="str">
        <x:v>8. Déchets</x:v>
      </x:c>
      <x:c r="B12" s="3" t="str">
        <x:v>Pour chaque item, déchet = poids_g × quantité.</x:v>
      </x:c>
      <x:c r="C12" s="3" t="str">
        <x:v>Coût/CO₂ déchets = poids kg × facteur DECHETS.</x:v>
      </x:c>
      <x:c r="D12" s="3" t="str">
        <x:v>Les liquides résiduels ne sont pas inclus sauf si intégrés dans poids_g ou paramétrés plus tard.</x:v>
      </x:c>
    </x:row>
    <x:row r="13">
      <x:c r="A13" s="3" t="str">
        <x:v>9. HAD</x:v>
      </x:c>
      <x:c r="B13" s="3" t="str">
        <x:v>Rythmic et PSE 24 mL = HAD uniquement. ANAPA/NEOPUMP/poche discontinue peuvent être HAD ou intra-hospitalier.</x:v>
      </x:c>
      <x:c r="C13" s="3" t="str">
        <x:v>Coût IDEL = nb passages/jour × 60 € par défaut.</x:v>
      </x:c>
      <x:c r="D13" s="3" t="str">
        <x:v>Le transport HAD est optionnel via PARAMETRES.</x:v>
      </x:c>
    </x:row>
    <x:row r="14">
      <x:c r="A14" s="3" t="str">
        <x:v>10. Intra-hospitalier</x:v>
      </x:c>
      <x:c r="B14" s="3" t="str">
        <x:v>Pompe volumétrique classique et PSE 48 mL = intra-hospitalier uniquement.</x:v>
      </x:c>
      <x:c r="C14" s="3" t="str">
        <x:v>Coût humain = temps par méthode × taux horaire dans COUTS_HORAIRES.</x:v>
      </x:c>
      <x:c r="D14" s="3" t="str">
        <x:v>Équipement hospitalier ajouté si renseigné dans DM Perfusion de l’hôpital.</x:v>
      </x:c>
    </x:row>
    <x:row r="15">
      <x:c r="A15" s="3" t="str">
        <x:v>11. Total coût/j</x:v>
      </x:c>
      <x:c r="B15" s="3" t="str">
        <x:v>Coût total = DM perfusion + médicament + reconstitution + déchets + location/équipement + temps/IDEL.</x:v>
      </x:c>
      <x:c r="C15" s="3" t="str">
        <x:v>Tous les postes sont affichés séparément dans le détail.</x:v>
      </x:c>
      <x:c r="D15" s="3" t="str">
        <x:v>Permet d’identifier ce qui drive le coût.</x:v>
      </x:c>
    </x:row>
    <x:row r="16">
      <x:c r="A16" s="3" t="str">
        <x:v>12. Total CO₂/j</x:v>
      </x:c>
      <x:c r="B16" s="3" t="str">
        <x:v>CO₂ total = DM perfusion + médicament + reconstitution + déchets + location/équipement + transport HAD.</x:v>
      </x:c>
      <x:c r="C16" s="3" t="str">
        <x:v>La location CO₂ peut être à 0 ou estimée si données suffisantes.</x:v>
      </x:c>
      <x:c r="D16" s="3" t="str">
        <x:v>Les valeurs V0 restent à challenger si facteurs ACV provisoires.</x:v>
      </x:c>
    </x:row>
  </x:sheetData>
  <x:pageMargins left="0.7" right="0.7" top="0.75" bottom="0.75" header="0.3" footer="0.3"/>
</x:worksheet>
</file>
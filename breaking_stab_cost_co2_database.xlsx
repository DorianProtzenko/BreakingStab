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THODES_PERFUSION" sheetId="1" state="visible" r:id="rId3"/>
    <sheet name="MATERIEL_PAR_METHODE" sheetId="2" state="visible" r:id="rId4"/>
    <sheet name="FACTEURS_ITEMS" sheetId="3" state="visible" r:id="rId5"/>
    <sheet name="LOCATIONS" sheetId="4" state="visible" r:id="rId6"/>
    <sheet name="DM Perfusion de l'hôpital" sheetId="5" state="visible" r:id="rId7"/>
    <sheet name="HAD" sheetId="6" state="visible" r:id="rId8"/>
    <sheet name="TEMPS_HUMAIN" sheetId="7" state="visible" r:id="rId9"/>
    <sheet name="COUTS_HORAIRES" sheetId="8" state="visible" r:id="rId10"/>
    <sheet name="DECHETS" sheetId="9" state="visible" r:id="rId11"/>
    <sheet name="PARAMETRES" sheetId="10" state="visible" r:id="rId12"/>
    <sheet name="README" sheetId="11" state="visible" r:id="rId13"/>
    <sheet name="CHANGELOG" sheetId="12" state="visible" r:id="rId14"/>
    <sheet name="ACV ATB" sheetId="13" state="visible" r:id="rId15"/>
    <sheet name="LOGIQUE_CALCUL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ACV location pompe non encore sourcé. Données fournisseur ou ACV déclarée à obtenir.</t>
        </r>
      </text>
    </comment>
    <comment ref="G5" authorId="0">
      <text>
        <r>
          <rPr>
            <sz val="10"/>
            <rFont val="Arial"/>
            <family val="2"/>
          </rPr>
          <t xml:space="preserve">ACV location pompe non encore sourcé. Données fournisseur ou ACV déclarée à obtenir.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8" authorId="0">
      <text>
        <r>
          <rPr>
            <sz val="10"/>
            <rFont val="Arial"/>
            <family val="2"/>
          </rPr>
          <t xml:space="preserve">Hypothèse provisoire : 1 MUI spiramycine ≈ 333 mg (European Pharmacopoeia). 1,5 MUI ≈ 500 mg. À revalider par le fournisseur / RCP.</t>
        </r>
      </text>
    </comment>
    <comment ref="E89" authorId="0">
      <text>
        <r>
          <rPr>
            <sz val="10"/>
            <rFont val="Arial"/>
            <family val="2"/>
          </rPr>
          <t xml:space="preserve">Hypothèse provisoire : 1 MUI spiramycine ≈ 333 mg (European Pharmacopoeia). 3 MUI ≈ 1 000 mg. À revalider par le fournisseur / RCP.</t>
        </r>
      </text>
    </comment>
  </commentList>
</comments>
</file>

<file path=xl/sharedStrings.xml><?xml version="1.0" encoding="utf-8"?>
<sst xmlns="http://schemas.openxmlformats.org/spreadsheetml/2006/main" count="1486" uniqueCount="627">
  <si>
    <t xml:space="preserve">Méthodes de perfusion — paramètres généraux</t>
  </si>
  <si>
    <t xml:space="preserve">Base de paramètres lue par le logiciel. Les scénarios ne sont pas saisis ici : ils seront générés dynamiquement par le moteur inversé.</t>
  </si>
  <si>
    <t xml:space="preserve">methode_id</t>
  </si>
  <si>
    <t xml:space="preserve">libelle</t>
  </si>
  <si>
    <t xml:space="preserve">mode</t>
  </si>
  <si>
    <t xml:space="preserve">volume_ml</t>
  </si>
  <si>
    <t xml:space="preserve">duree_h_defaut</t>
  </si>
  <si>
    <t xml:space="preserve">location_jour</t>
  </si>
  <si>
    <t xml:space="preserve">dm_captif</t>
  </si>
  <si>
    <t xml:space="preserve">dm_unique</t>
  </si>
  <si>
    <t xml:space="preserve">passages_ide_par_jour_defaut</t>
  </si>
  <si>
    <t xml:space="preserve">frequences_possibles</t>
  </si>
  <si>
    <t xml:space="preserve">contexte_defaut</t>
  </si>
  <si>
    <t xml:space="preserve">commentaire</t>
  </si>
  <si>
    <t xml:space="preserve">POCHE_VOL_CONT</t>
  </si>
  <si>
    <t xml:space="preserve">Poche en pompe volumétrique classique</t>
  </si>
  <si>
    <t xml:space="preserve">continu</t>
  </si>
  <si>
    <t xml:space="preserve">variable</t>
  </si>
  <si>
    <t xml:space="preserve">non</t>
  </si>
  <si>
    <t xml:space="preserve">oui</t>
  </si>
  <si>
    <t xml:space="preserve">q24/q12/q8/q6</t>
  </si>
  <si>
    <t xml:space="preserve">HOSPITALIER</t>
  </si>
  <si>
    <t xml:space="preserve">Intra-hospitalier uniquement dans le modèle ; volume selon moteur.</t>
  </si>
  <si>
    <t xml:space="preserve">PSE_48_CONT</t>
  </si>
  <si>
    <t xml:space="preserve">PSE 48 mL</t>
  </si>
  <si>
    <t xml:space="preserve">PSE 48 mL intra-hospitalier ; changement selon stabilité.</t>
  </si>
  <si>
    <t xml:space="preserve">PSE_24_HAD_CONT</t>
  </si>
  <si>
    <t xml:space="preserve">PSE HAD 24 mL</t>
  </si>
  <si>
    <t xml:space="preserve">HAD</t>
  </si>
  <si>
    <t xml:space="preserve">Pousse-seringue électrique HAD ; location par jour ; concentration calculée sur 24 mL.</t>
  </si>
  <si>
    <t xml:space="preserve">RYTHMIC_CONT</t>
  </si>
  <si>
    <t xml:space="preserve">Pompe Rythmic / Micrel</t>
  </si>
  <si>
    <t xml:space="preserve">100 ou 200</t>
  </si>
  <si>
    <t xml:space="preserve">q24/q12</t>
  </si>
  <si>
    <t xml:space="preserve">HAD uniquement ; location par jour + DM captif.</t>
  </si>
  <si>
    <t xml:space="preserve">ANAPA_CONT</t>
  </si>
  <si>
    <t xml:space="preserve">ANAPA</t>
  </si>
  <si>
    <t xml:space="preserve">q12</t>
  </si>
  <si>
    <t xml:space="preserve">HOSPITALIER/HAD</t>
  </si>
  <si>
    <t xml:space="preserve">DM unique. | ACV/poids diffuseur unifies (0,3 kgCO2e / 43 g).</t>
  </si>
  <si>
    <t xml:space="preserve">NEOPUMP_CONT</t>
  </si>
  <si>
    <t xml:space="preserve">NEOPUMP</t>
  </si>
  <si>
    <t xml:space="preserve">12 ou 24</t>
  </si>
  <si>
    <t xml:space="preserve">1 ou 2</t>
  </si>
  <si>
    <t xml:space="preserve">POCHE_DISCONT</t>
  </si>
  <si>
    <t xml:space="preserve">Poche classique discontinue</t>
  </si>
  <si>
    <t xml:space="preserve">discontinu</t>
  </si>
  <si>
    <t xml:space="preserve">administration courte</t>
  </si>
  <si>
    <t xml:space="preserve">nb administrations/j</t>
  </si>
  <si>
    <t xml:space="preserve">x1 à x6/j</t>
  </si>
  <si>
    <t xml:space="preserve">Discontinu : poche classique uniquement.</t>
  </si>
  <si>
    <t xml:space="preserve">ELASTOMERE_GENERIC</t>
  </si>
  <si>
    <t xml:space="preserve">Diffuseur élastomère générique</t>
  </si>
  <si>
    <t xml:space="preserve">100/150/250/500</t>
  </si>
  <si>
    <t xml:space="preserve">Proxy coût/CO₂ : diffuseur élastomère générique assimilé à NEOPUMP 250/500 mL selon volume, à remplacer par données fournisseur si disponibles. | ACV/poids diffuseur unifies (0,3 kgCO2e / 43 g).</t>
  </si>
  <si>
    <t xml:space="preserve">Matériel par méthode — panier de consommables</t>
  </si>
  <si>
    <t xml:space="preserve">Chaque ligne représente un item consommé par administration/perfusion. Le moteur multiplie par le nombre réel de perfusions/changements par jour.</t>
  </si>
  <si>
    <t xml:space="preserve">item_id</t>
  </si>
  <si>
    <t xml:space="preserve">item_libelle</t>
  </si>
  <si>
    <t xml:space="preserve">categorie</t>
  </si>
  <si>
    <t xml:space="preserve">quantite_par_perfusion</t>
  </si>
  <si>
    <t xml:space="preserve">inclus_dans_dm_captif</t>
  </si>
  <si>
    <t xml:space="preserve">a_compter</t>
  </si>
  <si>
    <t xml:space="preserve">POCHE_NACL_G5_VARIABLE</t>
  </si>
  <si>
    <t xml:space="preserve">Poche NaCl/G5 volume selon moteur</t>
  </si>
  <si>
    <t xml:space="preserve">contenant/solvant final</t>
  </si>
  <si>
    <t xml:space="preserve">Continu : poche en pompe volumétrique classique ; le moteur choisit le plus petit volume compatible par solvant.</t>
  </si>
  <si>
    <t xml:space="preserve">TUBULURE_POMPE_VOL</t>
  </si>
  <si>
    <t xml:space="preserve">Tubulure pompe volumétrique</t>
  </si>
  <si>
    <t xml:space="preserve">administration</t>
  </si>
  <si>
    <t xml:space="preserve">Tubulure spécifique pompe volumétrique.</t>
  </si>
  <si>
    <t xml:space="preserve">PROLONGATEUR_STANDARD</t>
  </si>
  <si>
    <t xml:space="preserve">Prolongateur standard</t>
  </si>
  <si>
    <t xml:space="preserve">à confirmer</t>
  </si>
  <si>
    <t xml:space="preserve">Selon montage local ; inclus si paramètre inclure_items_a_confirmer = 1.</t>
  </si>
  <si>
    <t xml:space="preserve">RINCAGE_NACL_10ML</t>
  </si>
  <si>
    <t xml:space="preserve">Rinçage NaCl 10 mL</t>
  </si>
  <si>
    <t xml:space="preserve">rinçage</t>
  </si>
  <si>
    <t xml:space="preserve">Avant/après selon protocole.</t>
  </si>
  <si>
    <t xml:space="preserve">ETIQUETTE</t>
  </si>
  <si>
    <t xml:space="preserve">Étiquette préparation</t>
  </si>
  <si>
    <t xml:space="preserve">traçabilité</t>
  </si>
  <si>
    <t xml:space="preserve">Par administration préparée.</t>
  </si>
  <si>
    <t xml:space="preserve">SERINGUE_PP_50ML</t>
  </si>
  <si>
    <t xml:space="preserve">Seringue PP 50 mL</t>
  </si>
  <si>
    <t xml:space="preserve">contenant</t>
  </si>
  <si>
    <t xml:space="preserve">PSE 48 mL intra-hospitalier.</t>
  </si>
  <si>
    <t xml:space="preserve">Poche NaCl/G5 pour dilution/remplissage</t>
  </si>
  <si>
    <t xml:space="preserve">solvant final</t>
  </si>
  <si>
    <t xml:space="preserve">Le moteur choisit la plus petite poche possible compatible avec la concentration.</t>
  </si>
  <si>
    <t xml:space="preserve">PROLONGATEUR_PSE</t>
  </si>
  <si>
    <t xml:space="preserve">Prolongateur PSE</t>
  </si>
  <si>
    <t xml:space="preserve">Tubulure/prolongateur spécifique PSE.</t>
  </si>
  <si>
    <t xml:space="preserve">Par changement de seringue.</t>
  </si>
  <si>
    <t xml:space="preserve">Par seringue préparée.</t>
  </si>
  <si>
    <t xml:space="preserve">SERINGUE_PP_24ML</t>
  </si>
  <si>
    <t xml:space="preserve">Seringue PP 24 mL</t>
  </si>
  <si>
    <t xml:space="preserve">PSE HAD 24 mL ; continu en HAD uniquement.</t>
  </si>
  <si>
    <t xml:space="preserve">RESERVOIR_RYTHMIC_100ML</t>
  </si>
  <si>
    <t xml:space="preserve">Poche/réservoir Rythmic avec tubulure 100 mL</t>
  </si>
  <si>
    <t xml:space="preserve">DM captif</t>
  </si>
  <si>
    <t xml:space="preserve">selon volume</t>
  </si>
  <si>
    <t xml:space="preserve">DM captif ; inclut la tubulure/prolongateur captif si le coût/ACV du set complet est renseigné.</t>
  </si>
  <si>
    <t xml:space="preserve">RESERVOIR_RYTHMIC_200ML</t>
  </si>
  <si>
    <t xml:space="preserve">Poche/réservoir Rythmic avec tubulure 200 mL</t>
  </si>
  <si>
    <t xml:space="preserve">Poche NaCl/G5 pour remplissage Rythmic</t>
  </si>
  <si>
    <t xml:space="preserve">PROLONGATEUR_CAPTIF_RYTHMIC</t>
  </si>
  <si>
    <t xml:space="preserve">Prolongateur captif Rythmic</t>
  </si>
  <si>
    <t xml:space="preserve">administration captif</t>
  </si>
  <si>
    <t xml:space="preserve">non si inclus dans DM captif</t>
  </si>
  <si>
    <t xml:space="preserve">À compter uniquement si le réservoir Rythmic n’intègre pas déjà le prolongateur captif.</t>
  </si>
  <si>
    <t xml:space="preserve">Par changement de réservoir.</t>
  </si>
  <si>
    <t xml:space="preserve">Par réservoir préparé.</t>
  </si>
  <si>
    <t xml:space="preserve">DISPOSITIF_ANAPA_250</t>
  </si>
  <si>
    <t xml:space="preserve">ANAPA 250 mL</t>
  </si>
  <si>
    <t xml:space="preserve">DM unique</t>
  </si>
  <si>
    <t xml:space="preserve">DM complet à usage unique.</t>
  </si>
  <si>
    <t xml:space="preserve">Poche NaCl/G5 pour remplissage ANAPA</t>
  </si>
  <si>
    <t xml:space="preserve">Par dispositif.</t>
  </si>
  <si>
    <t xml:space="preserve">Par dispositif préparé.</t>
  </si>
  <si>
    <t xml:space="preserve">NEOPUMP_500</t>
  </si>
  <si>
    <t xml:space="preserve">NEOPUMP 500 mL</t>
  </si>
  <si>
    <t xml:space="preserve">DM complet à usage unique avec tubulure intégrée.</t>
  </si>
  <si>
    <t xml:space="preserve">Poche NaCl/G5 pour remplissage NEOPUMP</t>
  </si>
  <si>
    <t xml:space="preserve">Discontinu : poche classique uniquement ; plus petit volume compatible par solvant.</t>
  </si>
  <si>
    <t xml:space="preserve">PERFUSEUR_STANDARD</t>
  </si>
  <si>
    <t xml:space="preserve">Perfuseur standard</t>
  </si>
  <si>
    <t xml:space="preserve">Gravité ou pompe selon pratique locale.</t>
  </si>
  <si>
    <t xml:space="preserve">Par administration.</t>
  </si>
  <si>
    <t xml:space="preserve">Par poche préparée.</t>
  </si>
  <si>
    <t xml:space="preserve">Diffuseur élastomère générique 250/500 mL</t>
  </si>
  <si>
    <t xml:space="preserve">Proxy provisoire : utilise l'ACV NEOPUMP_250 si volume ≤250 mL, sinon NEOPUMP_500. À remplacer par ACV fournisseur/pesée locale si disponible.</t>
  </si>
  <si>
    <t xml:space="preserve">Poche NaCl/G5 pour remplissage diffuseur</t>
  </si>
  <si>
    <t xml:space="preserve">Facteurs coût et CO₂ des consommables</t>
  </si>
  <si>
    <t xml:space="preserve">Compléter les coûts unitaires, kgCO₂e unitaires et poids. Ces valeurs seront utilisées pour calculer coût/CO₂ par jour et par traitement.</t>
  </si>
  <si>
    <t xml:space="preserve">cout_unitaire_eur</t>
  </si>
  <si>
    <t xml:space="preserve">kgco2e_unitaire</t>
  </si>
  <si>
    <t xml:space="preserve">poids_g</t>
  </si>
  <si>
    <t xml:space="preserve">type_dechet</t>
  </si>
  <si>
    <t xml:space="preserve">source_cout</t>
  </si>
  <si>
    <t xml:space="preserve">source_co2</t>
  </si>
  <si>
    <t xml:space="preserve">niveau_incertitude</t>
  </si>
  <si>
    <t xml:space="preserve">POCHE_NACL_G5_50ML</t>
  </si>
  <si>
    <t xml:space="preserve">Poche NaCl/G5 50 mL</t>
  </si>
  <si>
    <t xml:space="preserve">DASRI</t>
  </si>
  <si>
    <t xml:space="preserve">Copilote</t>
  </si>
  <si>
    <t xml:space="preserve">Carebone / LLM</t>
  </si>
  <si>
    <t xml:space="preserve">moyen</t>
  </si>
  <si>
    <t xml:space="preserve">POCHE_NACL_G5_100ML</t>
  </si>
  <si>
    <t xml:space="preserve">Poche NaCl/G5 100 mL</t>
  </si>
  <si>
    <t xml:space="preserve">POCHE_NACL_G5_250ML</t>
  </si>
  <si>
    <t xml:space="preserve">Poche NaCl/G5 250 mL</t>
  </si>
  <si>
    <t xml:space="preserve">POCHE_NACL_G5_500ML</t>
  </si>
  <si>
    <t xml:space="preserve">Poche NaCl/G5 500 mL</t>
  </si>
  <si>
    <t xml:space="preserve">Utilisée aussi comme proxy de seringue de reconstitution par défaut dans l'onglet ACV ATB ; à adapter si seringue 10/20 mL réelle.</t>
  </si>
  <si>
    <t xml:space="preserve">élevé</t>
  </si>
  <si>
    <t xml:space="preserve">Poste ACV dominant (0,241 kgCO₂e/changement). Source LLM — à revalider en priorité auprès du fournisseur ou via ACV de référence plastique médical.</t>
  </si>
  <si>
    <t xml:space="preserve">Source LLM. À revalider fournisseur. Faible poids (8 g) donc impact limité, mais utilisé sur toutes les méthodes poche.</t>
  </si>
  <si>
    <t xml:space="preserve">Source LLM. À revalider fournisseur.</t>
  </si>
  <si>
    <t xml:space="preserve">Poste ACV significatif (0,182 kgCO₂e). Source LLM — à revalider fournisseur.</t>
  </si>
  <si>
    <t xml:space="preserve">faible</t>
  </si>
  <si>
    <t xml:space="preserve">À renseigner seulement si non inclus dans DM captif/location</t>
  </si>
  <si>
    <t xml:space="preserve">ACV unifiée diffuseurs (base NEOPUMP 500)</t>
  </si>
  <si>
    <t xml:space="preserve">ACV et poids unifies pour tous les diffuseurs (0.3 kgCO2e, 43 g) : valeurs par marque/volume = estimations LLM non differenciables. Cout d'achat conserve par marque. Anciennes valeurs : 0.668 kgCO2e / 150 g. A remplacer par pesee/ACV fournisseur.</t>
  </si>
  <si>
    <t xml:space="preserve">ACV et poids unifies pour tous les diffuseurs (0.3 kgCO2e, 43 g) : valeurs par marque/volume = estimations LLM non differenciables. Cout d'achat conserve par marque. Anciennes valeurs : 0.3 kgCO2e / 43 g. A remplacer par pesee/ACV fournisseur.</t>
  </si>
  <si>
    <t xml:space="preserve">NEOPUMP_250</t>
  </si>
  <si>
    <t xml:space="preserve">NEOPUMP 250 mL</t>
  </si>
  <si>
    <t xml:space="preserve">Estimation</t>
  </si>
  <si>
    <t xml:space="preserve">ACV et poids unifies pour tous les diffuseurs (0.3 kgCO2e, 43 g) : valeurs par marque/volume = estimations LLM non differenciables. Cout d'achat conserve par marque. Anciennes valeurs : 0.242 kgCO2e / 43 g. A remplacer par pesee/ACV fournisseur.</t>
  </si>
  <si>
    <t xml:space="preserve">Seringue préremplie ou seringue + ampoule selon pratique</t>
  </si>
  <si>
    <t xml:space="preserve">COMPRESSE_ANTISEPTIQUE</t>
  </si>
  <si>
    <t xml:space="preserve">Compresse + antiseptique</t>
  </si>
  <si>
    <t xml:space="preserve">Optionnel</t>
  </si>
  <si>
    <t xml:space="preserve">DAOM</t>
  </si>
  <si>
    <t xml:space="preserve">AIGUILLE_RECONSTITUTION</t>
  </si>
  <si>
    <t xml:space="preserve">Aiguille de reconstitution / prélèvement</t>
  </si>
  <si>
    <t xml:space="preserve">Hypothèse interne</t>
  </si>
  <si>
    <t xml:space="preserve">Carebone / estimation par masse matière</t>
  </si>
  <si>
    <t xml:space="preserve">Ajoutée pour ACV médicaments nécessitant une reconstitution ; valeur provisoire à revalider par pesée/fournisseur. | Hypothèse interne 0,01 kgCO₂e. Multiplié par nb flacons/j×nb flacon/admin — peut cumuler. À revalider par masse matière ou fournisseur.</t>
  </si>
  <si>
    <t xml:space="preserve">Locations journalières</t>
  </si>
  <si>
    <t xml:space="preserve">Règle métier : Rythmic et PSE 24 mL HAD sont en location par jour.</t>
  </si>
  <si>
    <t xml:space="preserve">location_par_jour_eur</t>
  </si>
  <si>
    <t xml:space="preserve">ACV</t>
  </si>
  <si>
    <t xml:space="preserve">Nbre jour utilisation</t>
  </si>
  <si>
    <t xml:space="preserve">kgco2e_location_par_jour</t>
  </si>
  <si>
    <t xml:space="preserve">Marchés</t>
  </si>
  <si>
    <t xml:space="preserve">à compléter</t>
  </si>
  <si>
    <t xml:space="preserve">Location pompe Rythmic par jour.</t>
  </si>
  <si>
    <t xml:space="preserve">Location pousse-seringue HAD par jour ; consommation électrique incluse dans kgCO2e/jour si documentée.</t>
  </si>
  <si>
    <t xml:space="preserve">Data coût à l'utilisation matériel réutilisable intra-hospitalier</t>
  </si>
  <si>
    <t xml:space="preserve">Hypothèse de calcul = coût et ACV de fabrication amortis au jour d’utilisation. Les consommables, flacons et reconstitution restent multipliés par le nombre réel d’administrations/jour.</t>
  </si>
  <si>
    <t xml:space="preserve">Coût à l'achat</t>
  </si>
  <si>
    <t xml:space="preserve">Jours d'utilisation</t>
  </si>
  <si>
    <t xml:space="preserve">cout_par_jour</t>
  </si>
  <si>
    <t xml:space="preserve">kgco2e_par_jour</t>
  </si>
  <si>
    <t xml:space="preserve">ancienne_methode</t>
  </si>
  <si>
    <t xml:space="preserve">Hypothèse utilisateur : 1500 € TTC, TVA 20 %, soit 1250 € HT</t>
  </si>
  <si>
    <t xml:space="preserve">NA</t>
  </si>
  <si>
    <t xml:space="preserve">PSE hospitalier : amortissement au jour d’utilisation, pas de location dans le modèle intra-hospitalier.</t>
  </si>
  <si>
    <t xml:space="preserve">Avant : amortissement par administration réelle</t>
  </si>
  <si>
    <t xml:space="preserve">Pompe volumétrique classique hospitalière : amortissement au jour d’utilisation pour Poche en pompe volumétrique classique.</t>
  </si>
  <si>
    <t xml:space="preserve">Paramètres HAD et passages infirmiers</t>
  </si>
  <si>
    <t xml:space="preserve">Le logiciel calculera : coût HAD/jour = nombre de passages IDE/jour × 60 €. Impact déplacement = nombre de passages IDE/jour × km_moyen_par_passage × kgco2e_par_km, avec fallback sur kgco2e_passage_ide.</t>
  </si>
  <si>
    <t xml:space="preserve">contexte</t>
  </si>
  <si>
    <t xml:space="preserve">cout_passage_ide_eur</t>
  </si>
  <si>
    <t xml:space="preserve">kgco2e_passage_ide</t>
  </si>
  <si>
    <t xml:space="preserve">km_moyen_par_passage</t>
  </si>
  <si>
    <t xml:space="preserve">kgco2e_par_km</t>
  </si>
  <si>
    <t xml:space="preserve">IDEL pour passage</t>
  </si>
  <si>
    <t xml:space="preserve">Aller-retour IDEL (montagne) : 15 km aller x2 = 30 km/passage. kgco2e_passage_ide = 30 x 0,152 = 4,56 kgCO2e. Corrige le sous-comptage (aller simple 2,28). Facteur 0,152 a revalider vs ADEME Base Carbone (~0,193-0,218 kgCO2e/veh.km).</t>
  </si>
  <si>
    <t xml:space="preserve">Temps humain par méthode</t>
  </si>
  <si>
    <t xml:space="preserve">Optionnel. Utile pour comparer le coût hospitalier hors forfait HAD.</t>
  </si>
  <si>
    <t xml:space="preserve">temps_preparation_min</t>
  </si>
  <si>
    <t xml:space="preserve">temps_controle_pharma_min</t>
  </si>
  <si>
    <t xml:space="preserve">temps_pose_ide_min</t>
  </si>
  <si>
    <t xml:space="preserve">temps_retrait_ide_min</t>
  </si>
  <si>
    <t xml:space="preserve">temps_surveillance_min</t>
  </si>
  <si>
    <t xml:space="preserve">Par poche</t>
  </si>
  <si>
    <t xml:space="preserve">Par seringue</t>
  </si>
  <si>
    <t xml:space="preserve">Par réservoir Rythmic</t>
  </si>
  <si>
    <t xml:space="preserve">Par dispositif ANAPA</t>
  </si>
  <si>
    <t xml:space="preserve">Par dispositif NEOPUMP</t>
  </si>
  <si>
    <t xml:space="preserve">Par administration</t>
  </si>
  <si>
    <t xml:space="preserve">PSE_24_HAD_DISCONT</t>
  </si>
  <si>
    <t xml:space="preserve">En HAD, peut être remplacé par forfait passage IDE</t>
  </si>
  <si>
    <t xml:space="preserve">Coûts horaires</t>
  </si>
  <si>
    <t xml:space="preserve">Optionnel. Utilisé seulement si le calcul du temps humain hospitalier est activé.</t>
  </si>
  <si>
    <t xml:space="preserve">profil</t>
  </si>
  <si>
    <t xml:space="preserve">cout_horaire_eur</t>
  </si>
  <si>
    <t xml:space="preserve">source</t>
  </si>
  <si>
    <t xml:space="preserve">préparateur pharmacie</t>
  </si>
  <si>
    <t xml:space="preserve">Coût horaire chargé</t>
  </si>
  <si>
    <t xml:space="preserve">pharmacien</t>
  </si>
  <si>
    <t xml:space="preserve">IDE hospitalier</t>
  </si>
  <si>
    <t xml:space="preserve">Facteurs déchets</t>
  </si>
  <si>
    <t xml:space="preserve">Optionnel. Calcul déchets = poids item × facteur traitement.</t>
  </si>
  <si>
    <t xml:space="preserve">cout_traitement_eur_kg</t>
  </si>
  <si>
    <t xml:space="preserve">kgco2e_traitement_kg</t>
  </si>
  <si>
    <t xml:space="preserve">Carebone</t>
  </si>
  <si>
    <t xml:space="preserve">Incinération/traitement spécifique, inclus emballage primaire, verre ou non</t>
  </si>
  <si>
    <t xml:space="preserve">Déchet assimilé ordures ménagères</t>
  </si>
  <si>
    <t xml:space="preserve">CARTON</t>
  </si>
  <si>
    <t xml:space="preserve">Emballage secondaire ; coût conservateur retenu 0,08 €/kg</t>
  </si>
  <si>
    <t xml:space="preserve">Paramètres globaux du modèle</t>
  </si>
  <si>
    <t xml:space="preserve">Paramètres généraux modifiables sans toucher au code.</t>
  </si>
  <si>
    <t xml:space="preserve">parametre</t>
  </si>
  <si>
    <t xml:space="preserve">valeur</t>
  </si>
  <si>
    <t xml:space="preserve">unite</t>
  </si>
  <si>
    <t xml:space="preserve">cout_passage_ide_had</t>
  </si>
  <si>
    <t xml:space="preserve">€ / passage</t>
  </si>
  <si>
    <t xml:space="preserve">Règle fournie : chaque passage IDEL en HAD coûte 60 €.</t>
  </si>
  <si>
    <t xml:space="preserve">inclure_medicament</t>
  </si>
  <si>
    <t xml:space="preserve">0/1</t>
  </si>
  <si>
    <t xml:space="preserve">0 = non, 1 = oui.</t>
  </si>
  <si>
    <t xml:space="preserve">inclure_reconstitution</t>
  </si>
  <si>
    <t xml:space="preserve">Ajoute les DM de reconstitution pour les présentations nécessitant une reconstitution/poudre.</t>
  </si>
  <si>
    <t xml:space="preserve">inclure_temps_humain_hospitalier</t>
  </si>
  <si>
    <t xml:space="preserve">Active le calcul temps humain hospitalier.</t>
  </si>
  <si>
    <t xml:space="preserve">inclure_transport_had</t>
  </si>
  <si>
    <t xml:space="preserve">Activé : ajoute les émissions de déplacement IDEL en HAD. Par défaut : 15 km/passage × 0,152 kgCO₂e/km = 2,28 kgCO₂e/passage. Ajuster l'onglet HAD si besoin.</t>
  </si>
  <si>
    <t xml:space="preserve">inclure_dechets</t>
  </si>
  <si>
    <t xml:space="preserve">Active coût/CO₂ d’élimination des déchets.</t>
  </si>
  <si>
    <t xml:space="preserve">inclure_location</t>
  </si>
  <si>
    <t xml:space="preserve">Rythmic / PSE 24 mL HAD.</t>
  </si>
  <si>
    <t xml:space="preserve">inclure_equipement_hospitalier</t>
  </si>
  <si>
    <t xml:space="preserve">Active amortissement pompe volumétrique/PSE 48 mL intra-hospitalier si renseigné.</t>
  </si>
  <si>
    <t xml:space="preserve">inclure_items_a_confirmer</t>
  </si>
  <si>
    <t xml:space="preserve">Compte les items marqués 'à confirmer' dans MATERIEL_PAR_METHODE.</t>
  </si>
  <si>
    <t xml:space="preserve">duree_traitement_jours_defaut</t>
  </si>
  <si>
    <t xml:space="preserve">jours</t>
  </si>
  <si>
    <t xml:space="preserve">Valeur par défaut si non fournie.</t>
  </si>
  <si>
    <t xml:space="preserve">item_lingette_reconstitution</t>
  </si>
  <si>
    <t xml:space="preserve">Lingette/compresse antiseptique ajoutée si reconstitution nécessaire.</t>
  </si>
  <si>
    <t xml:space="preserve">nb_lingette_par_flacon_reconstitution</t>
  </si>
  <si>
    <t xml:space="preserve">unité/flacon</t>
  </si>
  <si>
    <t xml:space="preserve">Multiplié par le nombre de flacons/jour nécessitant une reconstitution.</t>
  </si>
  <si>
    <t xml:space="preserve">item_solvant_reconstitution</t>
  </si>
  <si>
    <t xml:space="preserve">Proxy solvant de reconstitution 10 mL NaCl/EPPI si poudre.</t>
  </si>
  <si>
    <t xml:space="preserve">nb_solvant_10ml_par_flacon_reconstitution</t>
  </si>
  <si>
    <t xml:space="preserve">item_etiquette_preparation</t>
  </si>
  <si>
    <t xml:space="preserve">Étiquette comptée via MATERIEL_PAR_METHODE par administration.</t>
  </si>
  <si>
    <t xml:space="preserve">passage_ide_had_prix_defaut</t>
  </si>
  <si>
    <t xml:space="preserve">€</t>
  </si>
  <si>
    <t xml:space="preserve">À garder identique à cout_passage_ide_had sauf changement volontaire.</t>
  </si>
  <si>
    <t xml:space="preserve">README — Consignes d'utilisation</t>
  </si>
  <si>
    <t xml:space="preserve">Documentation interne de la base de coûts et d'impact carbone.</t>
  </si>
  <si>
    <t xml:space="preserve">section</t>
  </si>
  <si>
    <t xml:space="preserve">contenu</t>
  </si>
  <si>
    <t xml:space="preserve">Objectif</t>
  </si>
  <si>
    <t xml:space="preserve">Base de paramètres pour simuler l'impact économique et écologique des méthodes de perfusion proposées par Breaking Stab.</t>
  </si>
  <si>
    <t xml:space="preserve">Principe</t>
  </si>
  <si>
    <t xml:space="preserve">Les scénarios cliniques ne sont pas saisis dans ce fichier. Ils seront générés automatiquement par le logiciel à partir du moteur inversé.</t>
  </si>
  <si>
    <t xml:space="preserve">Règle HAD</t>
  </si>
  <si>
    <t xml:space="preserve">Chaque passage infirmier libéral en HAD est valorisé à 60 € par défaut.</t>
  </si>
  <si>
    <t xml:space="preserve">Règle location</t>
  </si>
  <si>
    <t xml:space="preserve">Rythmic et PSE HAD 24 mL sont modélisés avec une location par jour.</t>
  </si>
  <si>
    <t xml:space="preserve">Règle DM</t>
  </si>
  <si>
    <t xml:space="preserve">Rythmic = DM captif. Le reste = DM unique, sauf exception renseignée dans les tables.</t>
  </si>
  <si>
    <t xml:space="preserve">À compléter</t>
  </si>
  <si>
    <t xml:space="preserve">Renseigner les coûts unitaires, kgCO₂e, poids, sources et incertitudes dans FACTEURS_ITEMS, LOCATIONS, HAD, DECHETS et COUTS_HORAIRES.</t>
  </si>
  <si>
    <t xml:space="preserve">Amortissement équipement</t>
  </si>
  <si>
    <t xml:space="preserve">Les équipements hospitaliers doivent avoir un methode_id identique au code HTML : POCHE_VOL_CONT pour pompe volumétrique classique, PSE_48_CONT pour PSE hospitalier.</t>
  </si>
  <si>
    <t xml:space="preserve">CHANGELOG — Suivi des modifications</t>
  </si>
  <si>
    <t xml:space="preserve">Tracer chaque modification significative : coût, kgCO₂e, poids, ajout/retrait d'un item ou d'une méthode.</t>
  </si>
  <si>
    <t xml:space="preserve">date</t>
  </si>
  <si>
    <t xml:space="preserve">auteur</t>
  </si>
  <si>
    <t xml:space="preserve">onglet</t>
  </si>
  <si>
    <t xml:space="preserve">modification</t>
  </si>
  <si>
    <t xml:space="preserve">justification</t>
  </si>
  <si>
    <t xml:space="preserve">AAAA-MM-JJ</t>
  </si>
  <si>
    <t xml:space="preserve">Nom</t>
  </si>
  <si>
    <t xml:space="preserve">FACTEURS_ITEMS</t>
  </si>
  <si>
    <t xml:space="preserve">URL ou référence</t>
  </si>
  <si>
    <t xml:space="preserve">LOCATIONS</t>
  </si>
  <si>
    <t xml:space="preserve">DECHETS</t>
  </si>
  <si>
    <t xml:space="preserve">PARAMETRES</t>
  </si>
  <si>
    <t xml:space="preserve">2026-06-05</t>
  </si>
  <si>
    <t xml:space="preserve">ChatGPT</t>
  </si>
  <si>
    <t xml:space="preserve">Correction poids NeoPump 250/500 à 43 g et ANAPA 250 à 150 g</t>
  </si>
  <si>
    <t xml:space="preserve">Validation utilisateur après revue des hypothèses ; poids à revalider par pesée</t>
  </si>
  <si>
    <t xml:space="preserve">Fiches techniques fournies + hypothèses utilisateur</t>
  </si>
  <si>
    <t xml:space="preserve">METHODES/MATERIEL/LOCATIONS</t>
  </si>
  <si>
    <t xml:space="preserve">Renommage PSE_24_HAD_CONT en PSE_24_HAD_DISCONT</t>
  </si>
  <si>
    <t xml:space="preserve">Méthode HAD 24 mL discontinue, ancien identifiant ambigu</t>
  </si>
  <si>
    <t xml:space="preserve">Correction utilisateur</t>
  </si>
  <si>
    <t xml:space="preserve">MATERIEL_PAR_METHODE/FACTEURS_ITEMS</t>
  </si>
  <si>
    <t xml:space="preserve">Harmonisation item_id Rythmic 100/200 mL</t>
  </si>
  <si>
    <t xml:space="preserve">Éviter les non-correspondances lors des jointures</t>
  </si>
  <si>
    <t xml:space="preserve">DM Perfusion de l'hôpital</t>
  </si>
  <si>
    <t xml:space="preserve">Correction coût PSE 48 mL à 1250 € HT</t>
  </si>
  <si>
    <t xml:space="preserve">1500 € TTC avec TVA 20 %</t>
  </si>
  <si>
    <t xml:space="preserve">Hypothèse utilisateur</t>
  </si>
  <si>
    <t xml:space="preserve">2026-06-05 13:21</t>
  </si>
  <si>
    <t xml:space="preserve">Ajout onglet ACV ATB</t>
  </si>
  <si>
    <t xml:space="preserve">Ajout d’un onglet avec ATB Breaking Stab, flacons/dosages, valeurs ACV provisoires calculées selon structure EcovaMED.</t>
  </si>
  <si>
    <t xml:space="preserve">ACV ATB</t>
  </si>
  <si>
    <t xml:space="preserve">Assistant</t>
  </si>
  <si>
    <t xml:space="preserve">FE PA générique à revalider</t>
  </si>
  <si>
    <t xml:space="preserve">Ajout reconstitution ACV ATB</t>
  </si>
  <si>
    <t xml:space="preserve">Ajout aiguille de reconstitution dans FACTEURS_ITEMS et colonnes X:AH dans ACV ATB.</t>
  </si>
  <si>
    <t xml:space="preserve">Toutes lignes ACV ATB</t>
  </si>
  <si>
    <t xml:space="preserve">Flacon = reconstitution par défaut ; ampoule/poche/plastique = prêt à diluer/administrer.</t>
  </si>
  <si>
    <t xml:space="preserve">À revalider par présentation exacte et pratique locale.</t>
  </si>
  <si>
    <t xml:space="preserve">2026-06-08</t>
  </si>
  <si>
    <t xml:space="preserve">MAJ amortissement équipement</t>
  </si>
  <si>
    <t xml:space="preserve">Passage de l'amortissement pompe volumétrique/PSE 48 mL de €/jour à €/administration</t>
  </si>
  <si>
    <t xml:space="preserve">L'HTML multiplie désormais cout_par_administration/kgco2e_par_administration par le nombre réel d'administrations/jour</t>
  </si>
  <si>
    <t xml:space="preserve">Dorian/ChatGPT</t>
  </si>
  <si>
    <t xml:space="preserve">2026-06-15</t>
  </si>
  <si>
    <t xml:space="preserve">Claude</t>
  </si>
  <si>
    <t xml:space="preserve">Ajout masse PA Spiramycine 1,5 MUI (500 mg) et 3 MUI (1 000 mg)</t>
  </si>
  <si>
    <t xml:space="preserve">Hypothèse provisoire 1 MUI ≈ 333 mg selon Pharmacopée Européenne</t>
  </si>
  <si>
    <t xml:space="preserve">European Pharmacopoeia — à revalider fournisseur</t>
  </si>
  <si>
    <t xml:space="preserve">Renforcement commentaires items incertitude élevée (tubulure, prolongateurs, ANAPA, aiguille)</t>
  </si>
  <si>
    <t xml:space="preserve">Clarification des postes à revalider en priorité</t>
  </si>
  <si>
    <t xml:space="preserve">Analyse interne</t>
  </si>
  <si>
    <t xml:space="preserve">Surbrillance source_co2 'à compléter' + commentaire alerte</t>
  </si>
  <si>
    <t xml:space="preserve">Traçabilité incertitude ACV location pompes</t>
  </si>
  <si>
    <t xml:space="preserve">Documentation du risque transport HAD désactivé par défaut</t>
  </si>
  <si>
    <t xml:space="preserve">Transport peut inverser comparaison HAD vs hospitalier selon distances</t>
  </si>
  <si>
    <t xml:space="preserve">v3</t>
  </si>
  <si>
    <t xml:space="preserve">HAD transport</t>
  </si>
  <si>
    <t xml:space="preserve">Ajout émissions déplacement IDEL</t>
  </si>
  <si>
    <t xml:space="preserve">15 km/passage × 0,152 kgCO₂e/km = 2,28 kgCO₂e/passage ; transport HAD activé</t>
  </si>
  <si>
    <t xml:space="preserve">Correction</t>
  </si>
  <si>
    <t xml:space="preserve">Ajout panier matériel diffuseur générique</t>
  </si>
  <si>
    <t xml:space="preserve">Le CO₂ DM du diffuseur générique est désormais pris en compte via proxy NEOPUMP 250/500 selon volume.</t>
  </si>
  <si>
    <t xml:space="preserve">DP/ChatGPT</t>
  </si>
  <si>
    <t xml:space="preserve">2026-07-03</t>
  </si>
  <si>
    <t xml:space="preserve">Revue assistée</t>
  </si>
  <si>
    <t xml:space="preserve">Transport IDEL en aller-retour : km 15-&gt;30 ; kgco2e_passage 2,28-&gt;4,56.</t>
  </si>
  <si>
    <t xml:space="preserve">L'IDEL revient a sa base ; l'aller simple sous-comptait de moitie le transport HAD.</t>
  </si>
  <si>
    <t xml:space="preserve">Commentaire onglet HAD + ADEME.</t>
  </si>
  <si>
    <t xml:space="preserve">FACTEURS_ITEMS + METHODES_PERFUSION</t>
  </si>
  <si>
    <t xml:space="preserve">ACV et poids diffuseurs unifies (0,3 kgCO2e / 43 g).</t>
  </si>
  <si>
    <t xml:space="preserve">ACV par marque/volume = estimations LLM sans base fournisseur (fausse precision). Base NEOPUMP 500. Couts conserves par marque.</t>
  </si>
  <si>
    <t xml:space="preserve">Fiche technique NeoPump 500 mL.</t>
  </si>
  <si>
    <t xml:space="preserve">ACV ATB — flacons/dosages Breaking Stab (valeurs provisoires calculables)</t>
  </si>
  <si>
    <t xml:space="preserve">NOTE</t>
  </si>
  <si>
    <t xml:space="preserve">Les valeurs ci-dessous utilisent la structure EcovaMED : masse de PA × FE PA, pertes de fabrication, transport amont PA, conditionnement primaire et emballage secondaire. Le FE PA spécifique n’est pas fourni dans la matrice ; un FE PA générique provisoire est utilisé et doit être remplacé dès qu’un FE PA fournisseur/EcovaMED calculé est disponible.</t>
  </si>
  <si>
    <t xml:space="preserve">Paramètre</t>
  </si>
  <si>
    <t xml:space="preserve">Valeur</t>
  </si>
  <si>
    <t xml:space="preserve">Unité</t>
  </si>
  <si>
    <t xml:space="preserve">Source / commentaire</t>
  </si>
  <si>
    <t xml:space="preserve">Source ATB</t>
  </si>
  <si>
    <t xml:space="preserve">Liste issue de l’outil Breaking Stab / onglet STABILITE et sources CHICAS/Micrel intégrées.</t>
  </si>
  <si>
    <t xml:space="preserve">FE_PA_generique_provisoire</t>
  </si>
  <si>
    <t xml:space="preserve">kgCO2e/kg PA</t>
  </si>
  <si>
    <t xml:space="preserve">Hypothèse interne provisoire à remplacer par FE PA fournisseur/EcovaMED calculateur</t>
  </si>
  <si>
    <t xml:space="preserve">Source coefficients</t>
  </si>
  <si>
    <t xml:space="preserve">Matrice EcovaMED v0.7 : pertes PA 5 %, transport excipients/conditionnements 0,095 kgCO2e/kg, flacon verre Europe 7,1 kgCO2e/kg, ampoule verre Europe 5,0 kgCO2e/kg, flacon plastique Europe 4,2 kgCO2e/kg, conditionnement tertiaire carton 1,16 kgCO2e/kg.</t>
  </si>
  <si>
    <t xml:space="preserve">Taux_perte_PA</t>
  </si>
  <si>
    <t xml:space="preserve">%</t>
  </si>
  <si>
    <t xml:space="preserve">EcovaMED matrice médicament, valeur par défaut</t>
  </si>
  <si>
    <t xml:space="preserve">Périmètre</t>
  </si>
  <si>
    <t xml:space="preserve">ACV par flacon/unité de médicament avant ajout des DM de perfusion ; destruction/excrétion/administration non incluses ici.</t>
  </si>
  <si>
    <t xml:space="preserve">FE_transport_amont_PA</t>
  </si>
  <si>
    <t xml:space="preserve">kgCO2e/kg</t>
  </si>
  <si>
    <t xml:space="preserve">EcovaMED, transport vers site de fabrication</t>
  </si>
  <si>
    <t xml:space="preserve">FE_flacon_verre_Europe</t>
  </si>
  <si>
    <t xml:space="preserve">EcovaMED, conditionnement primaire</t>
  </si>
  <si>
    <t xml:space="preserve">FE_ampoule_verre_Europe</t>
  </si>
  <si>
    <t xml:space="preserve">FE_flacon_plastique_Europe</t>
  </si>
  <si>
    <t xml:space="preserve">FE_carton_secondaire</t>
  </si>
  <si>
    <t xml:space="preserve">EcovaMED, conditionnement tertiaire carton</t>
  </si>
  <si>
    <t xml:space="preserve">Poids_flacon_verre_defaut</t>
  </si>
  <si>
    <t xml:space="preserve">g</t>
  </si>
  <si>
    <t xml:space="preserve">Hypothèse interne à remplacer si poids fournisseur disponible</t>
  </si>
  <si>
    <t xml:space="preserve">Poids_ampoule_defaut</t>
  </si>
  <si>
    <t xml:space="preserve">Poids_poche_PEA_defaut</t>
  </si>
  <si>
    <t xml:space="preserve">Hypothèse interne pour poches/prêt-à-l’emploi</t>
  </si>
  <si>
    <t xml:space="preserve">Poids_carton_proratise_defaut</t>
  </si>
  <si>
    <t xml:space="preserve">g/unité</t>
  </si>
  <si>
    <t xml:space="preserve">Hypothèse interne emballage secondaire/tertiaire proratisé</t>
  </si>
  <si>
    <t xml:space="preserve">Ajout reconstitution</t>
  </si>
  <si>
    <t xml:space="preserve">Les colonnes X:AH classent les présentations en “reconstitution nécessaire” vs “prêt à être dilué/administré” par règle provisoire : flacon = reconstitution ; ampoule/poche/plastique = prêt. Les DM de reconstitution ajoutés par défaut sont 1 seringue 24 mL + 1 aiguille. À revalider par présentation exacte.</t>
  </si>
  <si>
    <t xml:space="preserve">DM_reconstitution_defaut</t>
  </si>
  <si>
    <t xml:space="preserve">1 seringue 24 mL + 1 aiguille</t>
  </si>
  <si>
    <t xml:space="preserve">par flacon si reconstitution</t>
  </si>
  <si>
    <t xml:space="preserve">Hypothèse interne, à ajuster si plusieurs flacons/dose ou pratiques locales</t>
  </si>
  <si>
    <t xml:space="preserve">molecule_outil</t>
  </si>
  <si>
    <t xml:space="preserve">presentation_flacon_dosage</t>
  </si>
  <si>
    <t xml:space="preserve">type_presentation</t>
  </si>
  <si>
    <t xml:space="preserve">PA1</t>
  </si>
  <si>
    <t xml:space="preserve">PA1_mg</t>
  </si>
  <si>
    <t xml:space="preserve">PA2</t>
  </si>
  <si>
    <t xml:space="preserve">PA2_mg</t>
  </si>
  <si>
    <t xml:space="preserve">PA3</t>
  </si>
  <si>
    <t xml:space="preserve">PA3_mg</t>
  </si>
  <si>
    <t xml:space="preserve">masse_PA_totale_g</t>
  </si>
  <si>
    <t xml:space="preserve">FE_PA_retenu_kgCO2e_kg</t>
  </si>
  <si>
    <t xml:space="preserve">ACV_PA_kgCO2e</t>
  </si>
  <si>
    <t xml:space="preserve">ACV_transport_PA_kgCO2e</t>
  </si>
  <si>
    <t xml:space="preserve">poids_conditionnement_primaire_g</t>
  </si>
  <si>
    <t xml:space="preserve">FE_conditionnement_primaire</t>
  </si>
  <si>
    <t xml:space="preserve">ACV_conditionnement_primaire_kgCO2e</t>
  </si>
  <si>
    <t xml:space="preserve">poids_carton_proratise_g</t>
  </si>
  <si>
    <t xml:space="preserve">ACV_carton_secondaire_kgCO2e</t>
  </si>
  <si>
    <t xml:space="preserve">ACV_flacon_total_kgCO2e</t>
  </si>
  <si>
    <t xml:space="preserve">source_ATB</t>
  </si>
  <si>
    <t xml:space="preserve">source_coefficients</t>
  </si>
  <si>
    <t xml:space="preserve">statut_preparation</t>
  </si>
  <si>
    <t xml:space="preserve">hypothese_reconstitution</t>
  </si>
  <si>
    <t xml:space="preserve">nb_seringue_reconstitution</t>
  </si>
  <si>
    <t xml:space="preserve">item_seringue_reconstitution</t>
  </si>
  <si>
    <t xml:space="preserve">ACV_seringue_reconstitution_kgCO2e</t>
  </si>
  <si>
    <t xml:space="preserve">nb_aiguille_reconstitution</t>
  </si>
  <si>
    <t xml:space="preserve">item_aiguille_reconstitution</t>
  </si>
  <si>
    <t xml:space="preserve">ACV_aiguille_reconstitution_kgCO2e</t>
  </si>
  <si>
    <t xml:space="preserve">ACV_DM_reconstitution_kgCO2e</t>
  </si>
  <si>
    <t xml:space="preserve">ACV_medicament_total_avec_reconstitution_kgCO2e</t>
  </si>
  <si>
    <t xml:space="preserve">commentaire_preparation</t>
  </si>
  <si>
    <t xml:space="preserve">Aciclovir</t>
  </si>
  <si>
    <t xml:space="preserve">Flacon 250 mg</t>
  </si>
  <si>
    <t xml:space="preserve">flacon verre</t>
  </si>
  <si>
    <t xml:space="preserve">Breaking Stab</t>
  </si>
  <si>
    <t xml:space="preserve">EcovaMED v0.7 + hypothèses internes explicites</t>
  </si>
  <si>
    <t xml:space="preserve">Flacon 500 mg</t>
  </si>
  <si>
    <t xml:space="preserve">Amikacine</t>
  </si>
  <si>
    <t xml:space="preserve">Flacon/ampoule 250 mg</t>
  </si>
  <si>
    <t xml:space="preserve">ampoule verre</t>
  </si>
  <si>
    <t xml:space="preserve">Flacon/ampoule 500 mg</t>
  </si>
  <si>
    <t xml:space="preserve">Flacon/ampoule 1 g</t>
  </si>
  <si>
    <t xml:space="preserve">Amoxicilline</t>
  </si>
  <si>
    <t xml:space="preserve">Flacon 1 g</t>
  </si>
  <si>
    <t xml:space="preserve">Flacon 2 g</t>
  </si>
  <si>
    <t xml:space="preserve">Amoxicilline/acide clavulanique</t>
  </si>
  <si>
    <t xml:space="preserve">Flacon 1 g/200 mg</t>
  </si>
  <si>
    <t xml:space="preserve">Acide clavulanique</t>
  </si>
  <si>
    <t xml:space="preserve">Flacon 2 g/200 mg</t>
  </si>
  <si>
    <t xml:space="preserve">Ampicilline</t>
  </si>
  <si>
    <t xml:space="preserve">CHICAS/Breaking Stab</t>
  </si>
  <si>
    <t xml:space="preserve">Artesunate</t>
  </si>
  <si>
    <t xml:space="preserve">Flacon 60 mg</t>
  </si>
  <si>
    <t xml:space="preserve">Artésunate</t>
  </si>
  <si>
    <t xml:space="preserve">Aztréonam</t>
  </si>
  <si>
    <t xml:space="preserve">Benzylpénicilline</t>
  </si>
  <si>
    <t xml:space="preserve">Flacon 1 MUI ≈ 0,6 g</t>
  </si>
  <si>
    <t xml:space="preserve">CHICAS/Breaking Stab ; conversion MUI approximative</t>
  </si>
  <si>
    <t xml:space="preserve">Conversion MUI→mg utilisée pour ordre de grandeur ; à confirmer avec la présentation locale.</t>
  </si>
  <si>
    <t xml:space="preserve">Flacon 5 MUI ≈ 3 g</t>
  </si>
  <si>
    <t xml:space="preserve">Flacon 10 MUI ≈ 6 g</t>
  </si>
  <si>
    <t xml:space="preserve">Caspofungine</t>
  </si>
  <si>
    <t xml:space="preserve">Flacon 50 mg</t>
  </si>
  <si>
    <t xml:space="preserve">Flacon 70 mg</t>
  </si>
  <si>
    <t xml:space="preserve">Céfazoline</t>
  </si>
  <si>
    <t xml:space="preserve">Céfépime</t>
  </si>
  <si>
    <t xml:space="preserve">Céfidérocol</t>
  </si>
  <si>
    <t xml:space="preserve">Céfotaxime</t>
  </si>
  <si>
    <t xml:space="preserve">Ceftazidime</t>
  </si>
  <si>
    <t xml:space="preserve">Ceftriaxone</t>
  </si>
  <si>
    <t xml:space="preserve">Cefuroxime</t>
  </si>
  <si>
    <t xml:space="preserve">Flacon 750 mg</t>
  </si>
  <si>
    <t xml:space="preserve">Micrel/Breaking Stab</t>
  </si>
  <si>
    <t xml:space="preserve">Flacon 1,5 g</t>
  </si>
  <si>
    <t xml:space="preserve">Ciprofloxacine</t>
  </si>
  <si>
    <t xml:space="preserve">Poche prêt-à-l’emploi 200 mg</t>
  </si>
  <si>
    <t xml:space="preserve">poche PEA</t>
  </si>
  <si>
    <t xml:space="preserve">Présentation prêt-à-l’emploi : le conditionnement primaire réel doit être remplacé par le poids fournisseur si disponible.</t>
  </si>
  <si>
    <t xml:space="preserve">Poche prêt-à-l’emploi 400 mg</t>
  </si>
  <si>
    <t xml:space="preserve">Clindamycine</t>
  </si>
  <si>
    <t xml:space="preserve">Ampoule 600 mg</t>
  </si>
  <si>
    <t xml:space="preserve">Ampoule 900 mg</t>
  </si>
  <si>
    <t xml:space="preserve">Colistine</t>
  </si>
  <si>
    <t xml:space="preserve">Flacon 1 MUI ≈ 80 mg CMS</t>
  </si>
  <si>
    <t xml:space="preserve">Colistiméthate sodique</t>
  </si>
  <si>
    <t xml:space="preserve">Breaking Stab ; conversion MUI approximative</t>
  </si>
  <si>
    <t xml:space="preserve">Flacon 2 MUI ≈ 160 mg CMS</t>
  </si>
  <si>
    <t xml:space="preserve">Flacon 4,5 MUI ≈ 360 mg CMS</t>
  </si>
  <si>
    <t xml:space="preserve">Cotrimoxazole IV / Bactrim®</t>
  </si>
  <si>
    <t xml:space="preserve">Ampoule 400/80 mg</t>
  </si>
  <si>
    <t xml:space="preserve">Sulfaméthoxazole</t>
  </si>
  <si>
    <t xml:space="preserve">Triméthoprime</t>
  </si>
  <si>
    <t xml:space="preserve">Dalbavancine</t>
  </si>
  <si>
    <t xml:space="preserve">Daptomycine</t>
  </si>
  <si>
    <t xml:space="preserve">Flacon 350 mg</t>
  </si>
  <si>
    <t xml:space="preserve">Ertapénem</t>
  </si>
  <si>
    <t xml:space="preserve">Fluconazole</t>
  </si>
  <si>
    <t xml:space="preserve">Fosfomycine IV</t>
  </si>
  <si>
    <t xml:space="preserve">Flacon 4 g</t>
  </si>
  <si>
    <t xml:space="preserve">Fosfomycine</t>
  </si>
  <si>
    <t xml:space="preserve">Flacon 8 g</t>
  </si>
  <si>
    <t xml:space="preserve">Gentamicine</t>
  </si>
  <si>
    <t xml:space="preserve">Ampoule 80 mg</t>
  </si>
  <si>
    <t xml:space="preserve">Ampoule 160 mg</t>
  </si>
  <si>
    <t xml:space="preserve">Imipénème/cilastatine</t>
  </si>
  <si>
    <t xml:space="preserve">Flacon 500/500 mg</t>
  </si>
  <si>
    <t xml:space="preserve">Imipénème</t>
  </si>
  <si>
    <t xml:space="preserve">Cilastatine</t>
  </si>
  <si>
    <t xml:space="preserve">Imipénem/relebactam</t>
  </si>
  <si>
    <t xml:space="preserve">Flacon 500/500/250 mg</t>
  </si>
  <si>
    <t xml:space="preserve">Relebactam</t>
  </si>
  <si>
    <t xml:space="preserve">Isavuconazole</t>
  </si>
  <si>
    <t xml:space="preserve">Flacon 200 mg</t>
  </si>
  <si>
    <t xml:space="preserve">Levofloxacine</t>
  </si>
  <si>
    <t xml:space="preserve">Poche prêt-à-l’emploi 500 mg</t>
  </si>
  <si>
    <t xml:space="preserve">Linezolide</t>
  </si>
  <si>
    <t xml:space="preserve">Poche prêt-à-l’emploi 600 mg</t>
  </si>
  <si>
    <t xml:space="preserve">Méropénem</t>
  </si>
  <si>
    <t xml:space="preserve">Méropénem/vaborbactam</t>
  </si>
  <si>
    <t xml:space="preserve">Flacon 1 g/1 g</t>
  </si>
  <si>
    <t xml:space="preserve">Vaborbactam</t>
  </si>
  <si>
    <t xml:space="preserve">Métronidazole</t>
  </si>
  <si>
    <t xml:space="preserve">Micafungine</t>
  </si>
  <si>
    <t xml:space="preserve">Flacon 100 mg</t>
  </si>
  <si>
    <t xml:space="preserve">Ofloxacine</t>
  </si>
  <si>
    <t xml:space="preserve">Oxacilline</t>
  </si>
  <si>
    <t xml:space="preserve">Pipéracilline</t>
  </si>
  <si>
    <t xml:space="preserve">Pipéracilline/tazobactam</t>
  </si>
  <si>
    <t xml:space="preserve">Flacon 2 g/250 mg</t>
  </si>
  <si>
    <t xml:space="preserve">Tazobactam</t>
  </si>
  <si>
    <t xml:space="preserve">Flacon 4 g/500 mg</t>
  </si>
  <si>
    <t xml:space="preserve">Rifampicine IV</t>
  </si>
  <si>
    <t xml:space="preserve">Flacon 600 mg</t>
  </si>
  <si>
    <t xml:space="preserve">Rifampicine</t>
  </si>
  <si>
    <t xml:space="preserve">Spiramycine</t>
  </si>
  <si>
    <t xml:space="preserve">Flacon 1,5 MUI</t>
  </si>
  <si>
    <t xml:space="preserve">Breaking Stab ; masse PA à compléter</t>
  </si>
  <si>
    <t xml:space="preserve">Masse PA estimée : 1 MUI ≈ 333 mg selon Pharmacopée Européenne. À revalider.</t>
  </si>
  <si>
    <t xml:space="preserve">Flacon 3 MUI</t>
  </si>
  <si>
    <t xml:space="preserve">Tedizolide</t>
  </si>
  <si>
    <t xml:space="preserve">Teicoplanine</t>
  </si>
  <si>
    <t xml:space="preserve">Flacon 400 mg</t>
  </si>
  <si>
    <t xml:space="preserve">Témocilline</t>
  </si>
  <si>
    <t xml:space="preserve">Ticarcilline</t>
  </si>
  <si>
    <t xml:space="preserve">Ticarcilline/acide clavulanique</t>
  </si>
  <si>
    <t xml:space="preserve">Flacon 3 g/100 mg</t>
  </si>
  <si>
    <t xml:space="preserve">Tobramycine</t>
  </si>
  <si>
    <t xml:space="preserve">Ampoule 75 mg</t>
  </si>
  <si>
    <t xml:space="preserve">Ampoule 150 mg</t>
  </si>
  <si>
    <t xml:space="preserve">Vancomycine</t>
  </si>
  <si>
    <t xml:space="preserve">Voriconazole IV</t>
  </si>
  <si>
    <t xml:space="preserve">Voriconazole</t>
  </si>
  <si>
    <t xml:space="preserve">LOGIQUE DE CALCUL — coût € et kg eq CO₂ par jour</t>
  </si>
  <si>
    <t xml:space="preserve">Décrire simplement ce que fait l’outil pour que la méthode soit challengée/validée.</t>
  </si>
  <si>
    <t xml:space="preserve">Étape</t>
  </si>
  <si>
    <t xml:space="preserve">Calcul</t>
  </si>
  <si>
    <t xml:space="preserve">Règle appliquée</t>
  </si>
  <si>
    <t xml:space="preserve">Exemple / commentaire</t>
  </si>
  <si>
    <t xml:space="preserve">1. Génération option</t>
  </si>
  <si>
    <t xml:space="preserve">Le moteur inversé propose une méthode compatible.</t>
  </si>
  <si>
    <t xml:space="preserve">Méthode + solvant + volume + fréquence par jour sont générés par la stabilité et la concentration.</t>
  </si>
  <si>
    <t xml:space="preserve">Ex : PSE 48 mL q12h = 2 administrations/changements par jour.</t>
  </si>
  <si>
    <t xml:space="preserve">2. Nombre d’administrations</t>
  </si>
  <si>
    <t xml:space="preserve">nb_administrations_jour = fréquence générée par l’outil.</t>
  </si>
  <si>
    <t xml:space="preserve">Tout ce qui est consommé par administration est multiplié par ce nombre.</t>
  </si>
  <si>
    <t xml:space="preserve">HAD : passages IDEL/jour = administrations/changements/jour.</t>
  </si>
  <si>
    <t xml:space="preserve">3. DM de perfusion</t>
  </si>
  <si>
    <t xml:space="preserve">Le logiciel lit MATERIEL_PAR_METHODE.</t>
  </si>
  <si>
    <t xml:space="preserve">Il ajoute le DM principal + tubulures/prolongateurs spécifiques + rinçage + étiquette selon methode_id.</t>
  </si>
  <si>
    <t xml:space="preserve">Rythmic = DM captif ; ANAPA/NEOPUMP = DM unique ; poche = poche + perfuseur/tubulure.</t>
  </si>
  <si>
    <t xml:space="preserve">4. Solvant final</t>
  </si>
  <si>
    <t xml:space="preserve">POCHE_NACL_G5_VARIABLE est résolu en poche 50/100/250/500 mL.</t>
  </si>
  <si>
    <t xml:space="preserve">Toujours la plus petite poche compatible proposée par le moteur pour le solvant choisi.</t>
  </si>
  <si>
    <t xml:space="preserve">Affichage simplifié : plus petit volume visible, bouton + pour les autres volumes.</t>
  </si>
  <si>
    <t xml:space="preserve">5. Flacons médicament</t>
  </si>
  <si>
    <t xml:space="preserve">Dose par administration = dose journalière / nb_administrations_jour.</t>
  </si>
  <si>
    <t xml:space="preserve">Les flacons sont arrondis par administration, puis multipliés par nb_administrations_jour.</t>
  </si>
  <si>
    <t xml:space="preserve">Ex : 4,5 g/j en 3 adm avec flacons 1 g : 2 flacons/adm × 3 = 6 flacons/j.</t>
  </si>
  <si>
    <t xml:space="preserve">6. Reconstitution</t>
  </si>
  <si>
    <t xml:space="preserve">Si statut_preparation indique reconstitution/poudre/flacon, ajout de DM de reconstitution.</t>
  </si>
  <si>
    <t xml:space="preserve">Par flacon : seringue + aiguille + lingette/compresse + solvant 10 mL selon paramètres et colonnes ACV ATB.</t>
  </si>
  <si>
    <t xml:space="preserve">Les DM de reconstitution sont multipliés par le nombre total de flacons/jour.</t>
  </si>
  <si>
    <t xml:space="preserve">7. Prêt à être dilué</t>
  </si>
  <si>
    <t xml:space="preserve">Si présentation ampoule/poche/prête à l’emploi, aucun DM de reconstitution n’est ajouté.</t>
  </si>
  <si>
    <t xml:space="preserve">Les DM de perfusion restent comptés normalement.</t>
  </si>
  <si>
    <t xml:space="preserve">Ex : ampoule prête à diluer = flacon/ampoule compté, mais pas seringue+aiguille de reconstitution.</t>
  </si>
  <si>
    <t xml:space="preserve">8. Déchets</t>
  </si>
  <si>
    <t xml:space="preserve">Pour chaque item, déchet = poids_g × quantité.</t>
  </si>
  <si>
    <t xml:space="preserve">Coût/CO₂ déchets = poids kg × facteur DECHETS.</t>
  </si>
  <si>
    <t xml:space="preserve">Les liquides résiduels ne sont pas inclus sauf si intégrés dans poids_g ou paramétrés plus tard.</t>
  </si>
  <si>
    <t xml:space="preserve">9. HAD</t>
  </si>
  <si>
    <t xml:space="preserve">Rythmic et PSE 24 mL HAD sont disponibles uniquement en HAD.</t>
  </si>
  <si>
    <t xml:space="preserve">Coût IDEL = 60 € × nombre réel de passages/jour. Location Rythmic/PSE 24 mL = coût par jour dans LOCATIONS.</t>
  </si>
  <si>
    <t xml:space="preserve">Le nombre de passages suit les changements/perfusions du scénario.</t>
  </si>
  <si>
    <t xml:space="preserve">10. Intra-hospitalier</t>
  </si>
  <si>
    <t xml:space="preserve">Pompe volumétrique classique et PSE 48 mL = intra-hospitalier uniquement.</t>
  </si>
  <si>
    <t xml:space="preserve">Temps humain = TEMPS_HUMAIN × COUTS_HORAIRES. Équipement réutilisable = cout_par_jour + kgco2e_par_jour dans DM Perfusion de l’hôpital.</t>
  </si>
  <si>
    <t xml:space="preserve">Pompe volumétrique classique : methode_id = POCHE_VOL_CONT ; PSE hospitalier : PSE_48_CONT.</t>
  </si>
  <si>
    <t xml:space="preserve">11. Équipement réutilisable</t>
  </si>
  <si>
    <t xml:space="preserve">Amortissement au jour d’utilisation, non multiplié par le nombre d’administrations.</t>
  </si>
  <si>
    <t xml:space="preserve">cout_par_jour = Coût achat / Jours d’utilisation ; kgco2e_par_jour = ACV / Jours d’utilisation.</t>
  </si>
  <si>
    <t xml:space="preserve">Les administrations/jour restent utilisées pour consommables, flacons, reconstitution, déchets et temps.</t>
  </si>
  <si>
    <t xml:space="preserve">12. Configuration chiffrée affichée</t>
  </si>
  <si>
    <t xml:space="preserve">Chaque estimation € / kg eq CO₂ est attachée à une configuration précise.</t>
  </si>
  <si>
    <t xml:space="preserve">L’outil affiche méthode + contexte + solvant + volume + fréquence/jour + dose/contenant + concentration.</t>
  </si>
  <si>
    <t xml:space="preserve">Le chiffre affiché correspond à la carte visible, pas à toutes les options masquées derrière le bouton +.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</si>
</sst>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0.000"/>
    <numFmt numFmtId="171" formatCode="0.0"/>
    <numFmt numFmtId="172" formatCode="@"/>
    <numFmt numFmtId="173" formatCode="0.###"/>
    <numFmt numFmtId="174" formatCode="0.00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4"/>
      <color rgb="FF172637"/>
      <name val="Calibri"/>
      <family val="0"/>
      <charset val="1"/>
    </font>
    <font>
      <sz val="11"/>
      <color rgb="FF1726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172637"/>
      <name val="Calibri"/>
      <family val="0"/>
      <charset val="1"/>
    </font>
    <font>
      <b val="true"/>
      <sz val="11"/>
      <color rgb="FF172637"/>
      <name val="Calibri"/>
      <family val="0"/>
      <charset val="1"/>
    </font>
    <font>
      <b val="true"/>
      <sz val="11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D9EAF7"/>
      </patternFill>
    </fill>
    <fill>
      <patternFill patternType="solid">
        <fgColor rgb="FFF4F8FB"/>
        <bgColor rgb="FFECFDF5"/>
      </patternFill>
    </fill>
    <fill>
      <patternFill patternType="solid">
        <fgColor rgb="FF1D5F8F"/>
        <bgColor rgb="FF0F766E"/>
      </patternFill>
    </fill>
    <fill>
      <patternFill patternType="solid">
        <fgColor rgb="FFE3F0FB"/>
        <bgColor rgb="FFDDEBF7"/>
      </patternFill>
    </fill>
    <fill>
      <patternFill patternType="solid">
        <fgColor rgb="FF0F766E"/>
        <bgColor rgb="FF008080"/>
      </patternFill>
    </fill>
    <fill>
      <patternFill patternType="solid">
        <fgColor rgb="FFFFCC99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DEBF7"/>
      </patternFill>
    </fill>
    <fill>
      <patternFill patternType="solid">
        <fgColor rgb="FFCDDBE8"/>
        <bgColor rgb="FFD9EAF7"/>
      </patternFill>
    </fill>
    <fill>
      <patternFill patternType="solid">
        <fgColor rgb="FFCCFBF1"/>
        <bgColor rgb="FFD9EAF7"/>
      </patternFill>
    </fill>
    <fill>
      <patternFill patternType="solid">
        <fgColor rgb="FFECFDF5"/>
        <bgColor rgb="FFF4F8FB"/>
      </patternFill>
    </fill>
    <fill>
      <patternFill patternType="solid">
        <fgColor rgb="FFFFF4E8"/>
        <bgColor rgb="FFF4F8FB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14">
    <dxf>
      <fill>
        <patternFill patternType="solid">
          <fgColor rgb="FF1D5F8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E3F0FB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>
          <bgColor rgb="FFFFF4E8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17263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EAF7"/>
      <rgbColor rgb="FF808080"/>
      <rgbColor rgb="FF9999FF"/>
      <rgbColor rgb="FF993366"/>
      <rgbColor rgb="FFFEF3C7"/>
      <rgbColor rgb="FFCCFBF1"/>
      <rgbColor rgb="FF660066"/>
      <rgbColor rgb="FFFF8080"/>
      <rgbColor rgb="FF1D5F8F"/>
      <rgbColor rgb="FFCDDB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0FB"/>
      <rgbColor rgb="FFECFDF5"/>
      <rgbColor rgb="FFFFF4E8"/>
      <rgbColor rgb="FFDDEBF7"/>
      <rgbColor rgb="FFF4F8FB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6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V_ATB_Table" displayName="ACV_ATB_Table" ref="A17:W101" headerRowCount="1" totalsRowCount="0" totalsRowShown="0">
  <tableColumns count="23">
    <tableColumn id="1" name="molecule_outil"/>
    <tableColumn id="2" name="presentation_flacon_dosage"/>
    <tableColumn id="3" name="type_presentation"/>
    <tableColumn id="4" name="PA1"/>
    <tableColumn id="5" name="PA1_mg"/>
    <tableColumn id="6" name="PA2"/>
    <tableColumn id="7" name="PA2_mg"/>
    <tableColumn id="8" name="PA3"/>
    <tableColumn id="9" name="PA3_mg"/>
    <tableColumn id="10" name="masse_PA_totale_g"/>
    <tableColumn id="11" name="FE_PA_retenu_kgCO2e_kg"/>
    <tableColumn id="12" name="ACV_PA_kgCO2e"/>
    <tableColumn id="13" name="ACV_transport_PA_kgCO2e"/>
    <tableColumn id="14" name="poids_conditionnement_primaire_g"/>
    <tableColumn id="15" name="FE_conditionnement_primaire"/>
    <tableColumn id="16" name="ACV_conditionnement_primaire_kgCO2e"/>
    <tableColumn id="17" name="poids_carton_proratise_g"/>
    <tableColumn id="18" name="ACV_carton_secondaire_kgCO2e"/>
    <tableColumn id="19" name="ACV_flacon_total_kgCO2e"/>
    <tableColumn id="20" name="niveau_incertitude"/>
    <tableColumn id="21" name="source_ATB"/>
    <tableColumn id="22" name="source_coefficients"/>
    <tableColumn id="23" name="commentaire"/>
  </tableColumns>
</table>
</file>

<file path=xl/tables/table2.xml><?xml version="1.0" encoding="utf-8"?>
<table xmlns="http://schemas.openxmlformats.org/spreadsheetml/2006/main" id="2" name="Changelog" displayName="Changelog" ref="A3:F6" headerRowCount="1" totalsRowCount="0" totalsRowShown="0">
  <tableColumns count="6">
    <tableColumn id="1" name="date"/>
    <tableColumn id="2" name="auteur"/>
    <tableColumn id="3" name="onglet"/>
    <tableColumn id="4" name="modification"/>
    <tableColumn id="5" name="justification"/>
    <tableColumn id="6" name="source"/>
  </tableColumns>
</table>
</file>

<file path=xl/tables/table3.xml><?xml version="1.0" encoding="utf-8"?>
<table xmlns="http://schemas.openxmlformats.org/spreadsheetml/2006/main" id="3" name="CoutsHoraires" displayName="CoutsHoraires" ref="A3:D6" headerRowCount="1" totalsRowCount="0" totalsRowShown="0">
  <tableColumns count="4">
    <tableColumn id="1" name="profil"/>
    <tableColumn id="2" name="cout_horaire_eur"/>
    <tableColumn id="3" name="source"/>
    <tableColumn id="4" name="commentaire"/>
  </tableColumns>
</table>
</file>

<file path=xl/tables/table4.xml><?xml version="1.0" encoding="utf-8"?>
<table xmlns="http://schemas.openxmlformats.org/spreadsheetml/2006/main" id="4" name="Dechets" displayName="Dechets" ref="A3:E6" headerRowCount="1" totalsRowCount="0" totalsRowShown="0">
  <tableColumns count="5">
    <tableColumn id="1" name="type_dechet"/>
    <tableColumn id="2" name="cout_traitement_eur_kg"/>
    <tableColumn id="3" name="kgco2e_traitement_kg"/>
    <tableColumn id="4" name="source"/>
    <tableColumn id="5" name="commentaire"/>
  </tableColumns>
</table>
</file>

<file path=xl/tables/table5.xml><?xml version="1.0" encoding="utf-8"?>
<table xmlns="http://schemas.openxmlformats.org/spreadsheetml/2006/main" id="5" name="FacteursItems" displayName="FacteursItems" ref="A3:J21" headerRowCount="1" totalsRowCount="0" totalsRowShown="0">
  <tableColumns count="10">
    <tableColumn id="1" name="item_id"/>
    <tableColumn id="2" name="item_libelle"/>
    <tableColumn id="3" name="cout_unitaire_eur"/>
    <tableColumn id="4" name="kgco2e_unitaire"/>
    <tableColumn id="5" name="poids_g"/>
    <tableColumn id="6" name="type_dechet"/>
    <tableColumn id="7" name="source_cout"/>
    <tableColumn id="8" name="source_co2"/>
    <tableColumn id="9" name="niveau_incertitude"/>
    <tableColumn id="10" name="commentaire"/>
  </tableColumns>
</table>
</file>

<file path=xl/tables/table6.xml><?xml version="1.0" encoding="utf-8"?>
<table xmlns="http://schemas.openxmlformats.org/spreadsheetml/2006/main" id="6" name="HadParams" displayName="HadParams" ref="A3:E4" headerRowCount="1" totalsRowCount="0" totalsRowShown="0">
  <tableColumns count="5">
    <tableColumn id="1" name="contexte"/>
    <tableColumn id="2" name="cout_passage_ide_eur"/>
    <tableColumn id="3" name="kgco2e_passage_ide"/>
    <tableColumn id="4" name="km_moyen_par_passage"/>
    <tableColumn id="5" name="commentaire"/>
  </tableColumns>
</table>
</file>

<file path=xl/tables/table7.xml><?xml version="1.0" encoding="utf-8"?>
<table xmlns="http://schemas.openxmlformats.org/spreadsheetml/2006/main" id="7" name="Locations" displayName="Locations" ref="A3:H5" headerRowCount="1" totalsRowCount="0" totalsRowShown="0">
  <tableColumns count="8">
    <tableColumn id="1" name="methode_id"/>
    <tableColumn id="2" name="location_par_jour_eur"/>
    <tableColumn id="3" name="ACV"/>
    <tableColumn id="4" name="Nbre jour utilisation"/>
    <tableColumn id="5" name="kgco2e_location_par_jour"/>
    <tableColumn id="6" name="source_cout"/>
    <tableColumn id="7" name="source_co2"/>
    <tableColumn id="8" name="commentaire"/>
  </tableColumns>
</table>
</file>

<file path=xl/tables/table8.xml><?xml version="1.0" encoding="utf-8"?>
<table xmlns="http://schemas.openxmlformats.org/spreadsheetml/2006/main" id="8" name="Locations13" displayName="Locations13" ref="A3:I5" headerRowCount="1" totalsRowCount="0" totalsRowShown="0">
  <tableColumns count="9">
    <tableColumn id="1" name="methode_id"/>
    <tableColumn id="2" name="Coût à l'achat"/>
    <tableColumn id="3" name="ACV"/>
    <tableColumn id="4" name="Jours d'utilisation"/>
    <tableColumn id="5" name="cout_par_jour"/>
    <tableColumn id="6" name="kgco2e_par_jour"/>
    <tableColumn id="7" name="source_cout"/>
    <tableColumn id="8" name="source_co2"/>
    <tableColumn id="9" name="commentaire"/>
  </tableColumns>
</table>
</file>

<file path=xl/tables/table9.xml><?xml version="1.0" encoding="utf-8"?>
<table xmlns="http://schemas.openxmlformats.org/spreadsheetml/2006/main" id="9" name="MaterielParMethode" displayName="MaterielParMethode" ref="A3:H23" headerRowCount="1" totalsRowCount="0" totalsRowShown="0">
  <tableColumns count="8">
    <tableColumn id="1" name="methode_id"/>
    <tableColumn id="2" name="item_id"/>
    <tableColumn id="3" name="item_libelle"/>
    <tableColumn id="4" name="categorie"/>
    <tableColumn id="5" name="quantite_par_perfusion"/>
    <tableColumn id="6" name="inclus_dans_dm_captif"/>
    <tableColumn id="7" name="a_compter"/>
    <tableColumn id="8" name="commentaire"/>
  </tableColumns>
</table>
</file>

<file path=xl/tables/table10.xml><?xml version="1.0" encoding="utf-8"?>
<table xmlns="http://schemas.openxmlformats.org/spreadsheetml/2006/main" id="10" name="MethodesPerfusion" displayName="MethodesPerfusion" ref="A3:L10" headerRowCount="1" totalsRowCount="0" totalsRowShown="0">
  <tableColumns count="12">
    <tableColumn id="1" name="methode_id"/>
    <tableColumn id="2" name="libelle"/>
    <tableColumn id="3" name="mode"/>
    <tableColumn id="4" name="volume_ml"/>
    <tableColumn id="5" name="duree_h_defaut"/>
    <tableColumn id="6" name="location_jour"/>
    <tableColumn id="7" name="dm_captif"/>
    <tableColumn id="8" name="dm_unique"/>
    <tableColumn id="9" name="passages_ide_par_jour_defaut"/>
    <tableColumn id="10" name="frequences_possibles"/>
    <tableColumn id="11" name="contexte_defaut"/>
    <tableColumn id="12" name="commentaire"/>
  </tableColumns>
</table>
</file>

<file path=xl/tables/table11.xml><?xml version="1.0" encoding="utf-8"?>
<table xmlns="http://schemas.openxmlformats.org/spreadsheetml/2006/main" id="11" name="Parametres" displayName="Parametres" ref="A3:D11" headerRowCount="1" totalsRowCount="0" totalsRowShown="0">
  <tableColumns count="4">
    <tableColumn id="1" name="parametre"/>
    <tableColumn id="2" name="valeur"/>
    <tableColumn id="3" name="unite"/>
    <tableColumn id="4" name="commentaire"/>
  </tableColumns>
</table>
</file>

<file path=xl/tables/table12.xml><?xml version="1.0" encoding="utf-8"?>
<table xmlns="http://schemas.openxmlformats.org/spreadsheetml/2006/main" id="12" name="Readme" displayName="Readme" ref="A3:B10" headerRowCount="1" totalsRowCount="0" totalsRowShown="0">
  <tableColumns count="2">
    <tableColumn id="1" name="section"/>
    <tableColumn id="2" name="contenu"/>
  </tableColumns>
</table>
</file>

<file path=xl/tables/table13.xml><?xml version="1.0" encoding="utf-8"?>
<table xmlns="http://schemas.openxmlformats.org/spreadsheetml/2006/main" id="13" name="TempsHumain" displayName="TempsHumain" ref="A3:G10" headerRowCount="1" totalsRowCount="0" totalsRowShown="0">
  <tableColumns count="7">
    <tableColumn id="1" name="methode_id"/>
    <tableColumn id="2" name="temps_preparation_min"/>
    <tableColumn id="3" name="temps_controle_pharma_min"/>
    <tableColumn id="4" name="temps_pose_ide_min"/>
    <tableColumn id="5" name="temps_retrait_ide_min"/>
    <tableColumn id="6" name="temps_surveillance_min"/>
    <tableColumn id="7" name="commentair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04.85"/>
    <col collapsed="false" customWidth="true" hidden="false" outlineLevel="0" max="2" min="2" style="1" width="32.3"/>
    <col collapsed="false" customWidth="true" hidden="false" outlineLevel="0" max="3" min="3" style="1" width="10.36"/>
    <col collapsed="false" customWidth="true" hidden="false" outlineLevel="0" max="4" min="4" style="1" width="11.84"/>
    <col collapsed="false" customWidth="true" hidden="false" outlineLevel="0" max="5" min="5" style="1" width="17.23"/>
    <col collapsed="false" customWidth="true" hidden="false" outlineLevel="0" max="6" min="6" style="1" width="13.46"/>
    <col collapsed="false" customWidth="true" hidden="false" outlineLevel="0" max="7" min="7" style="1" width="10.9"/>
    <col collapsed="false" customWidth="true" hidden="false" outlineLevel="0" max="8" min="8" style="1" width="11.98"/>
    <col collapsed="false" customWidth="true" hidden="false" outlineLevel="0" max="9" min="9" style="1" width="27.73"/>
    <col collapsed="false" customWidth="true" hidden="false" outlineLevel="0" max="10" min="10" style="1" width="20.19"/>
    <col collapsed="false" customWidth="true" hidden="false" outlineLevel="0" max="11" min="11" style="1" width="16.69"/>
    <col collapsed="false" customWidth="true" hidden="false" outlineLevel="0" max="12" min="12" style="1" width="68.37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33.7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n">
        <v>24</v>
      </c>
      <c r="F4" s="5" t="s">
        <v>18</v>
      </c>
      <c r="G4" s="5" t="s">
        <v>18</v>
      </c>
      <c r="H4" s="5" t="s">
        <v>19</v>
      </c>
      <c r="I4" s="5" t="n">
        <v>1</v>
      </c>
      <c r="J4" s="5" t="s">
        <v>20</v>
      </c>
      <c r="K4" s="5" t="s">
        <v>21</v>
      </c>
      <c r="L4" s="5" t="s">
        <v>22</v>
      </c>
    </row>
    <row r="5" customFormat="false" ht="33.75" hidden="false" customHeight="true" outlineLevel="0" collapsed="false">
      <c r="A5" s="5" t="s">
        <v>23</v>
      </c>
      <c r="B5" s="5" t="s">
        <v>24</v>
      </c>
      <c r="C5" s="5" t="s">
        <v>16</v>
      </c>
      <c r="D5" s="5" t="n">
        <v>48</v>
      </c>
      <c r="E5" s="5" t="s">
        <v>17</v>
      </c>
      <c r="F5" s="5" t="s">
        <v>18</v>
      </c>
      <c r="G5" s="5" t="s">
        <v>18</v>
      </c>
      <c r="H5" s="5" t="s">
        <v>19</v>
      </c>
      <c r="I5" s="5" t="s">
        <v>17</v>
      </c>
      <c r="J5" s="5" t="s">
        <v>20</v>
      </c>
      <c r="K5" s="5" t="s">
        <v>21</v>
      </c>
      <c r="L5" s="5" t="s">
        <v>25</v>
      </c>
    </row>
    <row r="6" customFormat="false" ht="33.75" hidden="false" customHeight="true" outlineLevel="0" collapsed="false">
      <c r="A6" s="5" t="s">
        <v>26</v>
      </c>
      <c r="B6" s="5" t="s">
        <v>27</v>
      </c>
      <c r="C6" s="5" t="s">
        <v>16</v>
      </c>
      <c r="D6" s="5" t="n">
        <v>24</v>
      </c>
      <c r="E6" s="5" t="s">
        <v>17</v>
      </c>
      <c r="F6" s="5" t="s">
        <v>19</v>
      </c>
      <c r="G6" s="5" t="s">
        <v>18</v>
      </c>
      <c r="H6" s="5" t="s">
        <v>19</v>
      </c>
      <c r="I6" s="5" t="s">
        <v>17</v>
      </c>
      <c r="J6" s="5" t="s">
        <v>20</v>
      </c>
      <c r="K6" s="5" t="s">
        <v>28</v>
      </c>
      <c r="L6" s="5" t="s">
        <v>29</v>
      </c>
    </row>
    <row r="7" customFormat="false" ht="33.75" hidden="false" customHeight="true" outlineLevel="0" collapsed="false">
      <c r="A7" s="5" t="s">
        <v>30</v>
      </c>
      <c r="B7" s="5" t="s">
        <v>31</v>
      </c>
      <c r="C7" s="5" t="s">
        <v>16</v>
      </c>
      <c r="D7" s="5" t="s">
        <v>32</v>
      </c>
      <c r="E7" s="5" t="n">
        <v>24</v>
      </c>
      <c r="F7" s="5" t="s">
        <v>19</v>
      </c>
      <c r="G7" s="5" t="s">
        <v>19</v>
      </c>
      <c r="H7" s="5" t="s">
        <v>18</v>
      </c>
      <c r="I7" s="5" t="n">
        <v>1</v>
      </c>
      <c r="J7" s="5" t="s">
        <v>33</v>
      </c>
      <c r="K7" s="5" t="s">
        <v>28</v>
      </c>
      <c r="L7" s="5" t="s">
        <v>34</v>
      </c>
    </row>
    <row r="8" customFormat="false" ht="33.75" hidden="false" customHeight="true" outlineLevel="0" collapsed="false">
      <c r="A8" s="5" t="s">
        <v>35</v>
      </c>
      <c r="B8" s="5" t="s">
        <v>36</v>
      </c>
      <c r="C8" s="5" t="s">
        <v>16</v>
      </c>
      <c r="D8" s="5" t="n">
        <v>250</v>
      </c>
      <c r="E8" s="5" t="n">
        <v>12</v>
      </c>
      <c r="F8" s="5" t="s">
        <v>18</v>
      </c>
      <c r="G8" s="5" t="s">
        <v>18</v>
      </c>
      <c r="H8" s="5" t="s">
        <v>19</v>
      </c>
      <c r="I8" s="5" t="n">
        <v>2</v>
      </c>
      <c r="J8" s="5" t="s">
        <v>37</v>
      </c>
      <c r="K8" s="5" t="s">
        <v>38</v>
      </c>
      <c r="L8" s="5" t="s">
        <v>39</v>
      </c>
    </row>
    <row r="9" customFormat="false" ht="33.75" hidden="false" customHeight="true" outlineLevel="0" collapsed="false">
      <c r="A9" s="5" t="s">
        <v>40</v>
      </c>
      <c r="B9" s="5" t="s">
        <v>41</v>
      </c>
      <c r="C9" s="5" t="s">
        <v>16</v>
      </c>
      <c r="D9" s="5" t="n">
        <v>500</v>
      </c>
      <c r="E9" s="5" t="s">
        <v>42</v>
      </c>
      <c r="F9" s="5" t="s">
        <v>18</v>
      </c>
      <c r="G9" s="5" t="s">
        <v>18</v>
      </c>
      <c r="H9" s="5" t="s">
        <v>19</v>
      </c>
      <c r="I9" s="5" t="s">
        <v>43</v>
      </c>
      <c r="J9" s="5" t="s">
        <v>33</v>
      </c>
      <c r="K9" s="5" t="s">
        <v>38</v>
      </c>
      <c r="L9" s="5" t="s">
        <v>39</v>
      </c>
    </row>
    <row r="10" customFormat="false" ht="33.75" hidden="false" customHeight="true" outlineLevel="0" collapsed="false">
      <c r="A10" s="5" t="s">
        <v>44</v>
      </c>
      <c r="B10" s="5" t="s">
        <v>45</v>
      </c>
      <c r="C10" s="5" t="s">
        <v>46</v>
      </c>
      <c r="D10" s="5" t="s">
        <v>17</v>
      </c>
      <c r="E10" s="5" t="s">
        <v>47</v>
      </c>
      <c r="F10" s="5" t="s">
        <v>18</v>
      </c>
      <c r="G10" s="5" t="s">
        <v>18</v>
      </c>
      <c r="H10" s="5" t="s">
        <v>19</v>
      </c>
      <c r="I10" s="5" t="s">
        <v>48</v>
      </c>
      <c r="J10" s="5" t="s">
        <v>49</v>
      </c>
      <c r="K10" s="5" t="s">
        <v>38</v>
      </c>
      <c r="L10" s="5" t="s">
        <v>50</v>
      </c>
    </row>
    <row r="11" customFormat="false" ht="14.25" hidden="false" customHeight="false" outlineLevel="0" collapsed="false">
      <c r="A11" s="6" t="s">
        <v>51</v>
      </c>
      <c r="B11" s="6" t="s">
        <v>52</v>
      </c>
      <c r="C11" s="6" t="s">
        <v>16</v>
      </c>
      <c r="D11" s="6" t="s">
        <v>53</v>
      </c>
      <c r="E11" s="6" t="s">
        <v>42</v>
      </c>
      <c r="F11" s="6" t="s">
        <v>18</v>
      </c>
      <c r="G11" s="6" t="s">
        <v>18</v>
      </c>
      <c r="H11" s="6" t="s">
        <v>19</v>
      </c>
      <c r="I11" s="6" t="s">
        <v>43</v>
      </c>
      <c r="J11" s="6" t="s">
        <v>33</v>
      </c>
      <c r="K11" s="6" t="s">
        <v>38</v>
      </c>
      <c r="L11" s="6" t="s">
        <v>54</v>
      </c>
    </row>
  </sheetData>
  <mergeCells count="2">
    <mergeCell ref="A1:L1"/>
    <mergeCell ref="A2:L2"/>
  </mergeCells>
  <dataValidations count="3">
    <dataValidation allowBlank="false" errorStyle="stop" operator="between" showDropDown="false" showErrorMessage="false" showInputMessage="false" sqref="C4:C200" type="list">
      <formula1>"continu,discontinu"</formula1>
      <formula2>0</formula2>
    </dataValidation>
    <dataValidation allowBlank="false" errorStyle="stop" operator="between" showDropDown="false" showErrorMessage="false" showInputMessage="false" sqref="F4:H200" type="list">
      <formula1>"oui,non"</formula1>
      <formula2>0</formula2>
    </dataValidation>
    <dataValidation allowBlank="false" errorStyle="stop" operator="between" showDropDown="false" showErrorMessage="false" showInputMessage="false" sqref="K4:K200" type="list">
      <formula1>"HOSPITALIER,HAD,HOSPITALIER/HAD"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20.86"/>
    <col collapsed="false" customWidth="true" hidden="false" outlineLevel="0" max="2" min="2" style="1" width="28.13"/>
    <col collapsed="false" customWidth="true" hidden="false" outlineLevel="0" max="3" min="3" style="1" width="37.42"/>
    <col collapsed="false" customWidth="true" hidden="false" outlineLevel="0" max="4" min="4" style="1" width="18.44"/>
    <col collapsed="false" customWidth="true" hidden="false" outlineLevel="0" max="5" min="5" style="1" width="22.07"/>
    <col collapsed="false" customWidth="true" hidden="false" outlineLevel="0" max="6" min="6" style="1" width="21.4"/>
    <col collapsed="false" customWidth="true" hidden="false" outlineLevel="0" max="7" min="7" style="1" width="24.36"/>
    <col collapsed="false" customWidth="true" hidden="false" outlineLevel="0" max="8" min="8" style="1" width="90.58"/>
  </cols>
  <sheetData>
    <row r="1" customFormat="false" ht="27.7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56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2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13</v>
      </c>
    </row>
    <row r="4" customFormat="false" ht="33.75" hidden="false" customHeight="true" outlineLevel="0" collapsed="false">
      <c r="A4" s="5" t="s">
        <v>14</v>
      </c>
      <c r="B4" s="5" t="s">
        <v>63</v>
      </c>
      <c r="C4" s="5" t="s">
        <v>64</v>
      </c>
      <c r="D4" s="5" t="s">
        <v>65</v>
      </c>
      <c r="E4" s="5" t="n">
        <v>1</v>
      </c>
      <c r="F4" s="5" t="s">
        <v>18</v>
      </c>
      <c r="G4" s="5" t="s">
        <v>19</v>
      </c>
      <c r="H4" s="5" t="s">
        <v>66</v>
      </c>
    </row>
    <row r="5" customFormat="false" ht="33.75" hidden="false" customHeight="true" outlineLevel="0" collapsed="false">
      <c r="A5" s="5" t="s">
        <v>14</v>
      </c>
      <c r="B5" s="5" t="s">
        <v>67</v>
      </c>
      <c r="C5" s="5" t="s">
        <v>68</v>
      </c>
      <c r="D5" s="5" t="s">
        <v>69</v>
      </c>
      <c r="E5" s="5" t="n">
        <v>1</v>
      </c>
      <c r="F5" s="5" t="s">
        <v>18</v>
      </c>
      <c r="G5" s="5" t="s">
        <v>19</v>
      </c>
      <c r="H5" s="5" t="s">
        <v>70</v>
      </c>
    </row>
    <row r="6" customFormat="false" ht="33.75" hidden="false" customHeight="true" outlineLevel="0" collapsed="false">
      <c r="A6" s="5" t="s">
        <v>14</v>
      </c>
      <c r="B6" s="5" t="s">
        <v>71</v>
      </c>
      <c r="C6" s="5" t="s">
        <v>72</v>
      </c>
      <c r="D6" s="5" t="s">
        <v>69</v>
      </c>
      <c r="E6" s="5" t="n">
        <v>1</v>
      </c>
      <c r="F6" s="5" t="s">
        <v>18</v>
      </c>
      <c r="G6" s="5" t="s">
        <v>73</v>
      </c>
      <c r="H6" s="5" t="s">
        <v>74</v>
      </c>
    </row>
    <row r="7" customFormat="false" ht="33.75" hidden="false" customHeight="true" outlineLevel="0" collapsed="false">
      <c r="A7" s="5" t="s">
        <v>14</v>
      </c>
      <c r="B7" s="5" t="s">
        <v>75</v>
      </c>
      <c r="C7" s="5" t="s">
        <v>76</v>
      </c>
      <c r="D7" s="5" t="s">
        <v>77</v>
      </c>
      <c r="E7" s="5" t="n">
        <v>1</v>
      </c>
      <c r="F7" s="5" t="s">
        <v>18</v>
      </c>
      <c r="G7" s="5" t="s">
        <v>19</v>
      </c>
      <c r="H7" s="5" t="s">
        <v>78</v>
      </c>
    </row>
    <row r="8" customFormat="false" ht="33.75" hidden="false" customHeight="true" outlineLevel="0" collapsed="false">
      <c r="A8" s="5" t="s">
        <v>14</v>
      </c>
      <c r="B8" s="5" t="s">
        <v>79</v>
      </c>
      <c r="C8" s="5" t="s">
        <v>80</v>
      </c>
      <c r="D8" s="5" t="s">
        <v>81</v>
      </c>
      <c r="E8" s="5" t="n">
        <v>1</v>
      </c>
      <c r="F8" s="5" t="s">
        <v>18</v>
      </c>
      <c r="G8" s="5" t="s">
        <v>19</v>
      </c>
      <c r="H8" s="5" t="s">
        <v>82</v>
      </c>
    </row>
    <row r="9" customFormat="false" ht="33.75" hidden="false" customHeight="true" outlineLevel="0" collapsed="false">
      <c r="A9" s="5" t="s">
        <v>23</v>
      </c>
      <c r="B9" s="5" t="s">
        <v>83</v>
      </c>
      <c r="C9" s="5" t="s">
        <v>84</v>
      </c>
      <c r="D9" s="5" t="s">
        <v>85</v>
      </c>
      <c r="E9" s="5" t="n">
        <v>1</v>
      </c>
      <c r="F9" s="5" t="s">
        <v>18</v>
      </c>
      <c r="G9" s="5" t="s">
        <v>19</v>
      </c>
      <c r="H9" s="5" t="s">
        <v>86</v>
      </c>
    </row>
    <row r="10" customFormat="false" ht="33.75" hidden="false" customHeight="true" outlineLevel="0" collapsed="false">
      <c r="A10" s="5" t="s">
        <v>23</v>
      </c>
      <c r="B10" s="5" t="s">
        <v>63</v>
      </c>
      <c r="C10" s="5" t="s">
        <v>87</v>
      </c>
      <c r="D10" s="5" t="s">
        <v>88</v>
      </c>
      <c r="E10" s="5" t="n">
        <v>1</v>
      </c>
      <c r="F10" s="5" t="s">
        <v>18</v>
      </c>
      <c r="G10" s="5" t="s">
        <v>19</v>
      </c>
      <c r="H10" s="5" t="s">
        <v>89</v>
      </c>
    </row>
    <row r="11" customFormat="false" ht="33.75" hidden="false" customHeight="true" outlineLevel="0" collapsed="false">
      <c r="A11" s="5" t="s">
        <v>23</v>
      </c>
      <c r="B11" s="5" t="s">
        <v>90</v>
      </c>
      <c r="C11" s="5" t="s">
        <v>91</v>
      </c>
      <c r="D11" s="5" t="s">
        <v>69</v>
      </c>
      <c r="E11" s="5" t="n">
        <v>1</v>
      </c>
      <c r="F11" s="5" t="s">
        <v>18</v>
      </c>
      <c r="G11" s="5" t="s">
        <v>19</v>
      </c>
      <c r="H11" s="5" t="s">
        <v>92</v>
      </c>
    </row>
    <row r="12" customFormat="false" ht="33.75" hidden="false" customHeight="true" outlineLevel="0" collapsed="false">
      <c r="A12" s="5" t="s">
        <v>23</v>
      </c>
      <c r="B12" s="5" t="s">
        <v>75</v>
      </c>
      <c r="C12" s="5" t="s">
        <v>76</v>
      </c>
      <c r="D12" s="5" t="s">
        <v>77</v>
      </c>
      <c r="E12" s="5" t="n">
        <v>1</v>
      </c>
      <c r="F12" s="5" t="s">
        <v>18</v>
      </c>
      <c r="G12" s="5" t="s">
        <v>19</v>
      </c>
      <c r="H12" s="5" t="s">
        <v>93</v>
      </c>
    </row>
    <row r="13" customFormat="false" ht="33.75" hidden="false" customHeight="true" outlineLevel="0" collapsed="false">
      <c r="A13" s="5" t="s">
        <v>23</v>
      </c>
      <c r="B13" s="5" t="s">
        <v>79</v>
      </c>
      <c r="C13" s="5" t="s">
        <v>80</v>
      </c>
      <c r="D13" s="5" t="s">
        <v>81</v>
      </c>
      <c r="E13" s="5" t="n">
        <v>1</v>
      </c>
      <c r="F13" s="5" t="s">
        <v>18</v>
      </c>
      <c r="G13" s="5" t="s">
        <v>19</v>
      </c>
      <c r="H13" s="5" t="s">
        <v>94</v>
      </c>
    </row>
    <row r="14" customFormat="false" ht="33.75" hidden="false" customHeight="true" outlineLevel="0" collapsed="false">
      <c r="A14" s="5" t="s">
        <v>26</v>
      </c>
      <c r="B14" s="5" t="s">
        <v>95</v>
      </c>
      <c r="C14" s="5" t="s">
        <v>96</v>
      </c>
      <c r="D14" s="5" t="s">
        <v>85</v>
      </c>
      <c r="E14" s="5" t="n">
        <v>1</v>
      </c>
      <c r="F14" s="5" t="s">
        <v>18</v>
      </c>
      <c r="G14" s="5" t="s">
        <v>19</v>
      </c>
      <c r="H14" s="5" t="s">
        <v>97</v>
      </c>
    </row>
    <row r="15" customFormat="false" ht="33.75" hidden="false" customHeight="true" outlineLevel="0" collapsed="false">
      <c r="A15" s="5" t="s">
        <v>26</v>
      </c>
      <c r="B15" s="5" t="s">
        <v>63</v>
      </c>
      <c r="C15" s="5" t="s">
        <v>87</v>
      </c>
      <c r="D15" s="5" t="s">
        <v>88</v>
      </c>
      <c r="E15" s="5" t="n">
        <v>1</v>
      </c>
      <c r="F15" s="5" t="s">
        <v>18</v>
      </c>
      <c r="G15" s="5" t="s">
        <v>19</v>
      </c>
      <c r="H15" s="5" t="s">
        <v>89</v>
      </c>
    </row>
    <row r="16" customFormat="false" ht="33.75" hidden="false" customHeight="true" outlineLevel="0" collapsed="false">
      <c r="A16" s="5" t="s">
        <v>26</v>
      </c>
      <c r="B16" s="5" t="s">
        <v>90</v>
      </c>
      <c r="C16" s="5" t="s">
        <v>91</v>
      </c>
      <c r="D16" s="5" t="s">
        <v>69</v>
      </c>
      <c r="E16" s="5" t="n">
        <v>1</v>
      </c>
      <c r="F16" s="5" t="s">
        <v>18</v>
      </c>
      <c r="G16" s="5" t="s">
        <v>19</v>
      </c>
      <c r="H16" s="5" t="s">
        <v>92</v>
      </c>
    </row>
    <row r="17" customFormat="false" ht="33.75" hidden="false" customHeight="true" outlineLevel="0" collapsed="false">
      <c r="A17" s="5" t="s">
        <v>26</v>
      </c>
      <c r="B17" s="5" t="s">
        <v>75</v>
      </c>
      <c r="C17" s="5" t="s">
        <v>76</v>
      </c>
      <c r="D17" s="5" t="s">
        <v>77</v>
      </c>
      <c r="E17" s="5" t="n">
        <v>1</v>
      </c>
      <c r="F17" s="5" t="s">
        <v>18</v>
      </c>
      <c r="G17" s="5" t="s">
        <v>19</v>
      </c>
      <c r="H17" s="5" t="s">
        <v>93</v>
      </c>
    </row>
    <row r="18" customFormat="false" ht="33.75" hidden="false" customHeight="true" outlineLevel="0" collapsed="false">
      <c r="A18" s="5" t="s">
        <v>26</v>
      </c>
      <c r="B18" s="5" t="s">
        <v>79</v>
      </c>
      <c r="C18" s="5" t="s">
        <v>80</v>
      </c>
      <c r="D18" s="5" t="s">
        <v>81</v>
      </c>
      <c r="E18" s="5" t="n">
        <v>1</v>
      </c>
      <c r="F18" s="5" t="s">
        <v>18</v>
      </c>
      <c r="G18" s="5" t="s">
        <v>19</v>
      </c>
      <c r="H18" s="5" t="s">
        <v>94</v>
      </c>
    </row>
    <row r="19" customFormat="false" ht="33.75" hidden="false" customHeight="true" outlineLevel="0" collapsed="false">
      <c r="A19" s="5" t="s">
        <v>30</v>
      </c>
      <c r="B19" s="5" t="s">
        <v>98</v>
      </c>
      <c r="C19" s="5" t="s">
        <v>99</v>
      </c>
      <c r="D19" s="5" t="s">
        <v>100</v>
      </c>
      <c r="E19" s="5" t="n">
        <v>1</v>
      </c>
      <c r="F19" s="5" t="s">
        <v>19</v>
      </c>
      <c r="G19" s="5" t="s">
        <v>101</v>
      </c>
      <c r="H19" s="5" t="s">
        <v>102</v>
      </c>
    </row>
    <row r="20" customFormat="false" ht="33.75" hidden="false" customHeight="true" outlineLevel="0" collapsed="false">
      <c r="A20" s="5" t="s">
        <v>30</v>
      </c>
      <c r="B20" s="5" t="s">
        <v>103</v>
      </c>
      <c r="C20" s="5" t="s">
        <v>104</v>
      </c>
      <c r="D20" s="5" t="s">
        <v>100</v>
      </c>
      <c r="E20" s="5" t="n">
        <v>1</v>
      </c>
      <c r="F20" s="5" t="s">
        <v>19</v>
      </c>
      <c r="G20" s="5" t="s">
        <v>101</v>
      </c>
      <c r="H20" s="5" t="s">
        <v>102</v>
      </c>
    </row>
    <row r="21" customFormat="false" ht="33.75" hidden="false" customHeight="true" outlineLevel="0" collapsed="false">
      <c r="A21" s="5" t="s">
        <v>30</v>
      </c>
      <c r="B21" s="5" t="s">
        <v>63</v>
      </c>
      <c r="C21" s="5" t="s">
        <v>105</v>
      </c>
      <c r="D21" s="5" t="s">
        <v>88</v>
      </c>
      <c r="E21" s="5" t="n">
        <v>1</v>
      </c>
      <c r="F21" s="5" t="s">
        <v>18</v>
      </c>
      <c r="G21" s="5" t="s">
        <v>19</v>
      </c>
      <c r="H21" s="5" t="s">
        <v>89</v>
      </c>
    </row>
    <row r="22" customFormat="false" ht="33.75" hidden="false" customHeight="true" outlineLevel="0" collapsed="false">
      <c r="A22" s="5" t="s">
        <v>30</v>
      </c>
      <c r="B22" s="5" t="s">
        <v>106</v>
      </c>
      <c r="C22" s="5" t="s">
        <v>107</v>
      </c>
      <c r="D22" s="5" t="s">
        <v>108</v>
      </c>
      <c r="E22" s="5" t="n">
        <v>1</v>
      </c>
      <c r="F22" s="5" t="s">
        <v>19</v>
      </c>
      <c r="G22" s="5" t="s">
        <v>109</v>
      </c>
      <c r="H22" s="5" t="s">
        <v>110</v>
      </c>
    </row>
    <row r="23" customFormat="false" ht="33.75" hidden="false" customHeight="true" outlineLevel="0" collapsed="false">
      <c r="A23" s="5" t="s">
        <v>30</v>
      </c>
      <c r="B23" s="5" t="s">
        <v>75</v>
      </c>
      <c r="C23" s="5" t="s">
        <v>76</v>
      </c>
      <c r="D23" s="5" t="s">
        <v>77</v>
      </c>
      <c r="E23" s="5" t="n">
        <v>1</v>
      </c>
      <c r="F23" s="5" t="s">
        <v>18</v>
      </c>
      <c r="G23" s="5" t="s">
        <v>19</v>
      </c>
      <c r="H23" s="5" t="s">
        <v>111</v>
      </c>
    </row>
    <row r="24" customFormat="false" ht="14.25" hidden="false" customHeight="true" outlineLevel="0" collapsed="false">
      <c r="A24" s="5" t="s">
        <v>30</v>
      </c>
      <c r="B24" s="5" t="s">
        <v>79</v>
      </c>
      <c r="C24" s="5" t="s">
        <v>80</v>
      </c>
      <c r="D24" s="5" t="s">
        <v>81</v>
      </c>
      <c r="E24" s="5" t="n">
        <v>1</v>
      </c>
      <c r="F24" s="5" t="s">
        <v>18</v>
      </c>
      <c r="G24" s="5" t="s">
        <v>19</v>
      </c>
      <c r="H24" s="5" t="s">
        <v>112</v>
      </c>
    </row>
    <row r="25" customFormat="false" ht="14.25" hidden="false" customHeight="true" outlineLevel="0" collapsed="false">
      <c r="A25" s="5" t="s">
        <v>35</v>
      </c>
      <c r="B25" s="5" t="s">
        <v>113</v>
      </c>
      <c r="C25" s="5" t="s">
        <v>114</v>
      </c>
      <c r="D25" s="5" t="s">
        <v>115</v>
      </c>
      <c r="E25" s="5" t="n">
        <v>1</v>
      </c>
      <c r="F25" s="5" t="s">
        <v>18</v>
      </c>
      <c r="G25" s="5" t="s">
        <v>19</v>
      </c>
      <c r="H25" s="5" t="s">
        <v>116</v>
      </c>
    </row>
    <row r="26" customFormat="false" ht="14.25" hidden="false" customHeight="true" outlineLevel="0" collapsed="false">
      <c r="A26" s="5" t="s">
        <v>35</v>
      </c>
      <c r="B26" s="5" t="s">
        <v>63</v>
      </c>
      <c r="C26" s="5" t="s">
        <v>117</v>
      </c>
      <c r="D26" s="5" t="s">
        <v>88</v>
      </c>
      <c r="E26" s="5" t="n">
        <v>1</v>
      </c>
      <c r="F26" s="5" t="s">
        <v>18</v>
      </c>
      <c r="G26" s="5" t="s">
        <v>19</v>
      </c>
      <c r="H26" s="5" t="s">
        <v>89</v>
      </c>
    </row>
    <row r="27" customFormat="false" ht="14.25" hidden="false" customHeight="true" outlineLevel="0" collapsed="false">
      <c r="A27" s="5" t="s">
        <v>35</v>
      </c>
      <c r="B27" s="5" t="s">
        <v>75</v>
      </c>
      <c r="C27" s="5" t="s">
        <v>76</v>
      </c>
      <c r="D27" s="5" t="s">
        <v>77</v>
      </c>
      <c r="E27" s="5" t="n">
        <v>1</v>
      </c>
      <c r="F27" s="5" t="s">
        <v>18</v>
      </c>
      <c r="G27" s="5" t="s">
        <v>19</v>
      </c>
      <c r="H27" s="5" t="s">
        <v>118</v>
      </c>
    </row>
    <row r="28" customFormat="false" ht="14.25" hidden="false" customHeight="true" outlineLevel="0" collapsed="false">
      <c r="A28" s="5" t="s">
        <v>35</v>
      </c>
      <c r="B28" s="5" t="s">
        <v>79</v>
      </c>
      <c r="C28" s="5" t="s">
        <v>80</v>
      </c>
      <c r="D28" s="5" t="s">
        <v>81</v>
      </c>
      <c r="E28" s="5" t="n">
        <v>1</v>
      </c>
      <c r="F28" s="5" t="s">
        <v>18</v>
      </c>
      <c r="G28" s="5" t="s">
        <v>19</v>
      </c>
      <c r="H28" s="5" t="s">
        <v>119</v>
      </c>
    </row>
    <row r="29" customFormat="false" ht="14.25" hidden="false" customHeight="true" outlineLevel="0" collapsed="false">
      <c r="A29" s="5" t="s">
        <v>40</v>
      </c>
      <c r="B29" s="5" t="s">
        <v>120</v>
      </c>
      <c r="C29" s="5" t="s">
        <v>121</v>
      </c>
      <c r="D29" s="5" t="s">
        <v>115</v>
      </c>
      <c r="E29" s="5" t="n">
        <v>1</v>
      </c>
      <c r="F29" s="5" t="s">
        <v>18</v>
      </c>
      <c r="G29" s="5" t="s">
        <v>19</v>
      </c>
      <c r="H29" s="5" t="s">
        <v>122</v>
      </c>
    </row>
    <row r="30" customFormat="false" ht="27.75" hidden="false" customHeight="true" outlineLevel="0" collapsed="false">
      <c r="A30" s="5" t="s">
        <v>40</v>
      </c>
      <c r="B30" s="5" t="s">
        <v>63</v>
      </c>
      <c r="C30" s="5" t="s">
        <v>123</v>
      </c>
      <c r="D30" s="5" t="s">
        <v>88</v>
      </c>
      <c r="E30" s="5" t="n">
        <v>1</v>
      </c>
      <c r="F30" s="5" t="s">
        <v>18</v>
      </c>
      <c r="G30" s="5" t="s">
        <v>19</v>
      </c>
      <c r="H30" s="5" t="s">
        <v>89</v>
      </c>
    </row>
    <row r="31" customFormat="false" ht="14.25" hidden="false" customHeight="true" outlineLevel="0" collapsed="false">
      <c r="A31" s="5" t="s">
        <v>40</v>
      </c>
      <c r="B31" s="5" t="s">
        <v>75</v>
      </c>
      <c r="C31" s="5" t="s">
        <v>76</v>
      </c>
      <c r="D31" s="5" t="s">
        <v>77</v>
      </c>
      <c r="E31" s="5" t="n">
        <v>1</v>
      </c>
      <c r="F31" s="5" t="s">
        <v>18</v>
      </c>
      <c r="G31" s="5" t="s">
        <v>19</v>
      </c>
      <c r="H31" s="5" t="s">
        <v>118</v>
      </c>
    </row>
    <row r="32" customFormat="false" ht="14.25" hidden="false" customHeight="true" outlineLevel="0" collapsed="false">
      <c r="A32" s="5" t="s">
        <v>40</v>
      </c>
      <c r="B32" s="5" t="s">
        <v>79</v>
      </c>
      <c r="C32" s="5" t="s">
        <v>80</v>
      </c>
      <c r="D32" s="5" t="s">
        <v>81</v>
      </c>
      <c r="E32" s="5" t="n">
        <v>1</v>
      </c>
      <c r="F32" s="5" t="s">
        <v>18</v>
      </c>
      <c r="G32" s="5" t="s">
        <v>19</v>
      </c>
      <c r="H32" s="5" t="s">
        <v>119</v>
      </c>
    </row>
    <row r="33" customFormat="false" ht="27.75" hidden="false" customHeight="true" outlineLevel="0" collapsed="false">
      <c r="A33" s="5" t="s">
        <v>44</v>
      </c>
      <c r="B33" s="5" t="s">
        <v>63</v>
      </c>
      <c r="C33" s="5" t="s">
        <v>64</v>
      </c>
      <c r="D33" s="5" t="s">
        <v>65</v>
      </c>
      <c r="E33" s="5" t="n">
        <v>1</v>
      </c>
      <c r="F33" s="5" t="s">
        <v>18</v>
      </c>
      <c r="G33" s="5" t="s">
        <v>19</v>
      </c>
      <c r="H33" s="5" t="s">
        <v>124</v>
      </c>
    </row>
    <row r="34" customFormat="false" ht="14.25" hidden="false" customHeight="true" outlineLevel="0" collapsed="false">
      <c r="A34" s="5" t="s">
        <v>44</v>
      </c>
      <c r="B34" s="5" t="s">
        <v>125</v>
      </c>
      <c r="C34" s="5" t="s">
        <v>126</v>
      </c>
      <c r="D34" s="5" t="s">
        <v>69</v>
      </c>
      <c r="E34" s="5" t="n">
        <v>1</v>
      </c>
      <c r="F34" s="5" t="s">
        <v>18</v>
      </c>
      <c r="G34" s="5" t="s">
        <v>19</v>
      </c>
      <c r="H34" s="5" t="s">
        <v>127</v>
      </c>
    </row>
    <row r="35" customFormat="false" ht="14.25" hidden="false" customHeight="true" outlineLevel="0" collapsed="false">
      <c r="A35" s="5" t="s">
        <v>44</v>
      </c>
      <c r="B35" s="5" t="s">
        <v>75</v>
      </c>
      <c r="C35" s="5" t="s">
        <v>76</v>
      </c>
      <c r="D35" s="5" t="s">
        <v>77</v>
      </c>
      <c r="E35" s="5" t="n">
        <v>1</v>
      </c>
      <c r="F35" s="5" t="s">
        <v>18</v>
      </c>
      <c r="G35" s="5" t="s">
        <v>19</v>
      </c>
      <c r="H35" s="5" t="s">
        <v>128</v>
      </c>
    </row>
    <row r="36" customFormat="false" ht="14.25" hidden="false" customHeight="true" outlineLevel="0" collapsed="false">
      <c r="A36" s="5" t="s">
        <v>44</v>
      </c>
      <c r="B36" s="5" t="s">
        <v>79</v>
      </c>
      <c r="C36" s="5" t="s">
        <v>80</v>
      </c>
      <c r="D36" s="5" t="s">
        <v>81</v>
      </c>
      <c r="E36" s="5" t="n">
        <v>1</v>
      </c>
      <c r="F36" s="5" t="s">
        <v>18</v>
      </c>
      <c r="G36" s="5" t="s">
        <v>19</v>
      </c>
      <c r="H36" s="5" t="s">
        <v>129</v>
      </c>
    </row>
    <row r="37" customFormat="false" ht="14.25" hidden="false" customHeight="false" outlineLevel="0" collapsed="false">
      <c r="A37" s="6" t="s">
        <v>51</v>
      </c>
      <c r="B37" s="6" t="s">
        <v>120</v>
      </c>
      <c r="C37" s="6" t="s">
        <v>130</v>
      </c>
      <c r="D37" s="6" t="s">
        <v>115</v>
      </c>
      <c r="E37" s="6" t="n">
        <v>1</v>
      </c>
      <c r="F37" s="6" t="s">
        <v>18</v>
      </c>
      <c r="G37" s="6" t="s">
        <v>19</v>
      </c>
      <c r="H37" s="6" t="s">
        <v>131</v>
      </c>
    </row>
    <row r="38" customFormat="false" ht="14.25" hidden="false" customHeight="false" outlineLevel="0" collapsed="false">
      <c r="A38" s="6" t="s">
        <v>51</v>
      </c>
      <c r="B38" s="6" t="s">
        <v>63</v>
      </c>
      <c r="C38" s="6" t="s">
        <v>132</v>
      </c>
      <c r="D38" s="6" t="s">
        <v>88</v>
      </c>
      <c r="E38" s="6" t="n">
        <v>1</v>
      </c>
      <c r="F38" s="6" t="s">
        <v>18</v>
      </c>
      <c r="G38" s="6" t="s">
        <v>19</v>
      </c>
      <c r="H38" s="6" t="s">
        <v>89</v>
      </c>
    </row>
    <row r="39" customFormat="false" ht="14.25" hidden="false" customHeight="false" outlineLevel="0" collapsed="false">
      <c r="A39" s="6" t="s">
        <v>51</v>
      </c>
      <c r="B39" s="6" t="s">
        <v>75</v>
      </c>
      <c r="C39" s="6" t="s">
        <v>76</v>
      </c>
      <c r="D39" s="6" t="s">
        <v>77</v>
      </c>
      <c r="E39" s="6" t="n">
        <v>1</v>
      </c>
      <c r="F39" s="6" t="s">
        <v>18</v>
      </c>
      <c r="G39" s="6" t="s">
        <v>19</v>
      </c>
      <c r="H39" s="6" t="s">
        <v>118</v>
      </c>
    </row>
    <row r="40" customFormat="false" ht="14.25" hidden="false" customHeight="false" outlineLevel="0" collapsed="false">
      <c r="A40" s="6" t="s">
        <v>51</v>
      </c>
      <c r="B40" s="6" t="s">
        <v>79</v>
      </c>
      <c r="C40" s="6" t="s">
        <v>80</v>
      </c>
      <c r="D40" s="6" t="s">
        <v>81</v>
      </c>
      <c r="E40" s="6" t="n">
        <v>1</v>
      </c>
      <c r="F40" s="6" t="s">
        <v>18</v>
      </c>
      <c r="G40" s="6" t="s">
        <v>19</v>
      </c>
      <c r="H40" s="6" t="s">
        <v>119</v>
      </c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F4:F300" type="list">
      <formula1>"oui,non"</formula1>
      <formula2>0</formula2>
    </dataValidation>
    <dataValidation allowBlank="false" errorStyle="stop" operator="between" showDropDown="false" showErrorMessage="false" showInputMessage="false" sqref="G4:G300" type="list">
      <formula1>"oui,non,à confirmer,non si inclus dans DM captif"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06.85"/>
    <col collapsed="false" customWidth="true" hidden="false" outlineLevel="0" max="2" min="2" style="1" width="37.42"/>
    <col collapsed="false" customWidth="true" hidden="false" outlineLevel="0" max="3" min="3" style="1" width="17.36"/>
    <col collapsed="false" customWidth="true" hidden="false" outlineLevel="0" max="4" min="4" style="1" width="15.75"/>
    <col collapsed="false" customWidth="false" hidden="false" outlineLevel="0" max="5" min="5" style="1" width="9.02"/>
    <col collapsed="false" customWidth="true" hidden="false" outlineLevel="0" max="6" min="6" style="1" width="12.92"/>
    <col collapsed="false" customWidth="true" hidden="false" outlineLevel="0" max="8" min="7" style="1" width="12.65"/>
    <col collapsed="false" customWidth="true" hidden="false" outlineLevel="0" max="9" min="9" style="1" width="18.03"/>
    <col collapsed="false" customWidth="true" hidden="false" outlineLevel="0" max="10" min="10" style="1" width="94.89"/>
  </cols>
  <sheetData>
    <row r="1" customFormat="false" ht="27.75" hidden="false" customHeight="true" outlineLevel="0" collapsed="false">
      <c r="A1" s="7" t="s">
        <v>133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42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A3" s="8" t="s">
        <v>57</v>
      </c>
      <c r="B3" s="8" t="s">
        <v>58</v>
      </c>
      <c r="C3" s="8" t="s">
        <v>135</v>
      </c>
      <c r="D3" s="8" t="s">
        <v>136</v>
      </c>
      <c r="E3" s="8" t="s">
        <v>137</v>
      </c>
      <c r="F3" s="8" t="s">
        <v>138</v>
      </c>
      <c r="G3" s="8" t="s">
        <v>139</v>
      </c>
      <c r="H3" s="8" t="s">
        <v>140</v>
      </c>
      <c r="I3" s="8" t="s">
        <v>141</v>
      </c>
      <c r="J3" s="8" t="s">
        <v>13</v>
      </c>
    </row>
    <row r="4" customFormat="false" ht="33.75" hidden="false" customHeight="true" outlineLevel="0" collapsed="false">
      <c r="A4" s="5" t="s">
        <v>142</v>
      </c>
      <c r="B4" s="5" t="s">
        <v>143</v>
      </c>
      <c r="C4" s="9" t="n">
        <f aca="false">0.5*1.02</f>
        <v>0.51</v>
      </c>
      <c r="D4" s="9" t="n">
        <v>0.201</v>
      </c>
      <c r="E4" s="10" t="n">
        <v>8</v>
      </c>
      <c r="F4" s="5" t="s">
        <v>144</v>
      </c>
      <c r="G4" s="5" t="s">
        <v>145</v>
      </c>
      <c r="H4" s="5" t="s">
        <v>146</v>
      </c>
      <c r="I4" s="5" t="s">
        <v>147</v>
      </c>
      <c r="J4" s="5"/>
    </row>
    <row r="5" customFormat="false" ht="33.75" hidden="false" customHeight="true" outlineLevel="0" collapsed="false">
      <c r="A5" s="5" t="s">
        <v>148</v>
      </c>
      <c r="B5" s="5" t="s">
        <v>149</v>
      </c>
      <c r="C5" s="9" t="n">
        <f aca="false">0.53*1.02</f>
        <v>0.5406</v>
      </c>
      <c r="D5" s="9" t="n">
        <v>0.278</v>
      </c>
      <c r="E5" s="10" t="n">
        <v>10</v>
      </c>
      <c r="F5" s="5" t="s">
        <v>144</v>
      </c>
      <c r="G5" s="5" t="s">
        <v>145</v>
      </c>
      <c r="H5" s="5" t="s">
        <v>146</v>
      </c>
      <c r="I5" s="5" t="s">
        <v>147</v>
      </c>
      <c r="J5" s="5"/>
    </row>
    <row r="6" customFormat="false" ht="33.75" hidden="false" customHeight="true" outlineLevel="0" collapsed="false">
      <c r="A6" s="5" t="s">
        <v>150</v>
      </c>
      <c r="B6" s="5" t="s">
        <v>151</v>
      </c>
      <c r="C6" s="9" t="n">
        <f aca="false">0.697*1.021</f>
        <v>0.711637</v>
      </c>
      <c r="D6" s="9" t="n">
        <v>0.507</v>
      </c>
      <c r="E6" s="10" t="n">
        <v>14</v>
      </c>
      <c r="F6" s="5" t="s">
        <v>144</v>
      </c>
      <c r="G6" s="5" t="s">
        <v>145</v>
      </c>
      <c r="H6" s="5" t="s">
        <v>146</v>
      </c>
      <c r="I6" s="5" t="s">
        <v>147</v>
      </c>
      <c r="J6" s="5"/>
    </row>
    <row r="7" customFormat="false" ht="33.75" hidden="false" customHeight="true" outlineLevel="0" collapsed="false">
      <c r="A7" s="5" t="s">
        <v>152</v>
      </c>
      <c r="B7" s="5" t="s">
        <v>153</v>
      </c>
      <c r="C7" s="9" t="n">
        <f aca="false">0.714*1.021</f>
        <v>0.728994</v>
      </c>
      <c r="D7" s="9" t="n">
        <v>0.889</v>
      </c>
      <c r="E7" s="10" t="n">
        <v>20</v>
      </c>
      <c r="F7" s="5" t="s">
        <v>144</v>
      </c>
      <c r="G7" s="5" t="s">
        <v>145</v>
      </c>
      <c r="H7" s="5" t="s">
        <v>146</v>
      </c>
      <c r="I7" s="5" t="s">
        <v>147</v>
      </c>
      <c r="J7" s="5"/>
    </row>
    <row r="8" customFormat="false" ht="33.75" hidden="false" customHeight="true" outlineLevel="0" collapsed="false">
      <c r="A8" s="5" t="s">
        <v>95</v>
      </c>
      <c r="B8" s="5" t="s">
        <v>96</v>
      </c>
      <c r="C8" s="9" t="n">
        <f aca="false">0.176*1.2</f>
        <v>0.2112</v>
      </c>
      <c r="D8" s="9" t="n">
        <v>0.069</v>
      </c>
      <c r="E8" s="10" t="n">
        <v>12</v>
      </c>
      <c r="F8" s="5" t="s">
        <v>144</v>
      </c>
      <c r="G8" s="5" t="s">
        <v>145</v>
      </c>
      <c r="H8" s="5" t="s">
        <v>146</v>
      </c>
      <c r="I8" s="5" t="s">
        <v>147</v>
      </c>
      <c r="J8" s="5" t="s">
        <v>154</v>
      </c>
    </row>
    <row r="9" customFormat="false" ht="33.75" hidden="false" customHeight="true" outlineLevel="0" collapsed="false">
      <c r="A9" s="5" t="s">
        <v>83</v>
      </c>
      <c r="B9" s="5" t="s">
        <v>84</v>
      </c>
      <c r="C9" s="9" t="n">
        <f aca="false">0.8435*1.2</f>
        <v>1.0122</v>
      </c>
      <c r="D9" s="9" t="n">
        <v>0.136</v>
      </c>
      <c r="E9" s="10" t="n">
        <v>18</v>
      </c>
      <c r="F9" s="5" t="s">
        <v>144</v>
      </c>
      <c r="G9" s="5" t="s">
        <v>145</v>
      </c>
      <c r="H9" s="5" t="s">
        <v>146</v>
      </c>
      <c r="I9" s="5" t="s">
        <v>147</v>
      </c>
      <c r="J9" s="5"/>
    </row>
    <row r="10" customFormat="false" ht="33.75" hidden="false" customHeight="true" outlineLevel="0" collapsed="false">
      <c r="A10" s="5" t="s">
        <v>67</v>
      </c>
      <c r="B10" s="5" t="s">
        <v>68</v>
      </c>
      <c r="C10" s="9" t="n">
        <f aca="false">9.8*1.2</f>
        <v>11.76</v>
      </c>
      <c r="D10" s="9" t="n">
        <v>0.241</v>
      </c>
      <c r="E10" s="10" t="n">
        <v>55</v>
      </c>
      <c r="F10" s="5" t="s">
        <v>144</v>
      </c>
      <c r="G10" s="5" t="s">
        <v>145</v>
      </c>
      <c r="H10" s="5" t="s">
        <v>146</v>
      </c>
      <c r="I10" s="11" t="s">
        <v>155</v>
      </c>
      <c r="J10" s="5" t="s">
        <v>156</v>
      </c>
    </row>
    <row r="11" customFormat="false" ht="33.75" hidden="false" customHeight="true" outlineLevel="0" collapsed="false">
      <c r="A11" s="5" t="s">
        <v>71</v>
      </c>
      <c r="B11" s="5" t="s">
        <v>72</v>
      </c>
      <c r="C11" s="9" t="n">
        <f aca="false">0.3926*1.2</f>
        <v>0.47112</v>
      </c>
      <c r="D11" s="5" t="n">
        <v>0.079</v>
      </c>
      <c r="E11" s="10" t="n">
        <v>8</v>
      </c>
      <c r="F11" s="5" t="s">
        <v>144</v>
      </c>
      <c r="G11" s="5" t="s">
        <v>145</v>
      </c>
      <c r="H11" s="5" t="s">
        <v>146</v>
      </c>
      <c r="I11" s="11" t="s">
        <v>155</v>
      </c>
      <c r="J11" s="5" t="s">
        <v>157</v>
      </c>
    </row>
    <row r="12" customFormat="false" ht="33.75" hidden="false" customHeight="true" outlineLevel="0" collapsed="false">
      <c r="A12" s="5" t="s">
        <v>90</v>
      </c>
      <c r="B12" s="5" t="s">
        <v>91</v>
      </c>
      <c r="C12" s="9" t="n">
        <f aca="false">0.2759*1.2</f>
        <v>0.33108</v>
      </c>
      <c r="D12" s="9" t="n">
        <v>0.055</v>
      </c>
      <c r="E12" s="10" t="n">
        <v>10</v>
      </c>
      <c r="F12" s="5" t="s">
        <v>144</v>
      </c>
      <c r="G12" s="5" t="s">
        <v>145</v>
      </c>
      <c r="H12" s="5" t="s">
        <v>146</v>
      </c>
      <c r="I12" s="11" t="s">
        <v>155</v>
      </c>
      <c r="J12" s="5" t="s">
        <v>158</v>
      </c>
    </row>
    <row r="13" customFormat="false" ht="33.75" hidden="false" customHeight="true" outlineLevel="0" collapsed="false">
      <c r="A13" s="5" t="s">
        <v>125</v>
      </c>
      <c r="B13" s="5" t="s">
        <v>126</v>
      </c>
      <c r="C13" s="9" t="n">
        <f aca="false">0.3876*1.2</f>
        <v>0.46512</v>
      </c>
      <c r="D13" s="9" t="n">
        <v>0.182</v>
      </c>
      <c r="E13" s="10" t="n">
        <v>35</v>
      </c>
      <c r="F13" s="5" t="s">
        <v>144</v>
      </c>
      <c r="G13" s="5" t="s">
        <v>145</v>
      </c>
      <c r="H13" s="5" t="s">
        <v>146</v>
      </c>
      <c r="I13" s="11" t="s">
        <v>155</v>
      </c>
      <c r="J13" s="5" t="s">
        <v>159</v>
      </c>
    </row>
    <row r="14" customFormat="false" ht="33.75" hidden="false" customHeight="true" outlineLevel="0" collapsed="false">
      <c r="A14" s="5" t="s">
        <v>103</v>
      </c>
      <c r="B14" s="5" t="s">
        <v>104</v>
      </c>
      <c r="C14" s="9" t="n">
        <f aca="false">16.97*1.2</f>
        <v>20.364</v>
      </c>
      <c r="D14" s="9" t="n">
        <v>0.209</v>
      </c>
      <c r="E14" s="10" t="n">
        <v>50</v>
      </c>
      <c r="F14" s="5" t="s">
        <v>144</v>
      </c>
      <c r="G14" s="5" t="s">
        <v>145</v>
      </c>
      <c r="H14" s="5" t="s">
        <v>146</v>
      </c>
      <c r="I14" s="5" t="s">
        <v>160</v>
      </c>
      <c r="J14" s="5" t="s">
        <v>161</v>
      </c>
    </row>
    <row r="15" customFormat="false" ht="33.75" hidden="false" customHeight="true" outlineLevel="0" collapsed="false">
      <c r="A15" s="5" t="s">
        <v>98</v>
      </c>
      <c r="B15" s="5" t="s">
        <v>99</v>
      </c>
      <c r="C15" s="9" t="n">
        <f aca="false">16*1.2</f>
        <v>19.2</v>
      </c>
      <c r="D15" s="9" t="n">
        <f aca="false">0.209-0.037/2</f>
        <v>0.1905</v>
      </c>
      <c r="E15" s="10" t="n">
        <v>50</v>
      </c>
      <c r="F15" s="5" t="s">
        <v>144</v>
      </c>
      <c r="G15" s="5" t="s">
        <v>145</v>
      </c>
      <c r="H15" s="5" t="s">
        <v>146</v>
      </c>
      <c r="I15" s="5" t="s">
        <v>160</v>
      </c>
      <c r="J15" s="5" t="s">
        <v>161</v>
      </c>
    </row>
    <row r="16" customFormat="false" ht="33.75" hidden="false" customHeight="true" outlineLevel="0" collapsed="false">
      <c r="A16" s="5" t="s">
        <v>113</v>
      </c>
      <c r="B16" s="5" t="s">
        <v>114</v>
      </c>
      <c r="C16" s="9" t="n">
        <f aca="false">36.41*1.2</f>
        <v>43.692</v>
      </c>
      <c r="D16" s="9" t="n">
        <v>0.3</v>
      </c>
      <c r="E16" s="10" t="n">
        <v>43</v>
      </c>
      <c r="F16" s="5" t="s">
        <v>144</v>
      </c>
      <c r="G16" s="5" t="s">
        <v>145</v>
      </c>
      <c r="H16" s="5" t="s">
        <v>162</v>
      </c>
      <c r="I16" s="11" t="s">
        <v>147</v>
      </c>
      <c r="J16" s="5" t="s">
        <v>163</v>
      </c>
    </row>
    <row r="17" customFormat="false" ht="33.75" hidden="false" customHeight="true" outlineLevel="0" collapsed="false">
      <c r="A17" s="5" t="s">
        <v>120</v>
      </c>
      <c r="B17" s="5" t="s">
        <v>121</v>
      </c>
      <c r="C17" s="9" t="n">
        <f aca="false">11.96*1.2</f>
        <v>14.352</v>
      </c>
      <c r="D17" s="9" t="n">
        <v>0.3</v>
      </c>
      <c r="E17" s="10" t="n">
        <v>43</v>
      </c>
      <c r="F17" s="5" t="s">
        <v>144</v>
      </c>
      <c r="G17" s="5" t="s">
        <v>145</v>
      </c>
      <c r="H17" s="5" t="s">
        <v>162</v>
      </c>
      <c r="I17" s="5" t="s">
        <v>147</v>
      </c>
      <c r="J17" s="5" t="s">
        <v>164</v>
      </c>
    </row>
    <row r="18" customFormat="false" ht="33.75" hidden="false" customHeight="true" outlineLevel="0" collapsed="false">
      <c r="A18" s="5" t="s">
        <v>165</v>
      </c>
      <c r="B18" s="5" t="s">
        <v>166</v>
      </c>
      <c r="C18" s="9" t="n">
        <f aca="false">11.96*1.2</f>
        <v>14.352</v>
      </c>
      <c r="D18" s="9" t="n">
        <v>0.3</v>
      </c>
      <c r="E18" s="10" t="n">
        <v>43</v>
      </c>
      <c r="F18" s="5" t="s">
        <v>144</v>
      </c>
      <c r="G18" s="5" t="s">
        <v>167</v>
      </c>
      <c r="H18" s="5" t="s">
        <v>162</v>
      </c>
      <c r="I18" s="5" t="s">
        <v>147</v>
      </c>
      <c r="J18" s="5" t="s">
        <v>168</v>
      </c>
    </row>
    <row r="19" customFormat="false" ht="33.75" hidden="false" customHeight="true" outlineLevel="0" collapsed="false">
      <c r="A19" s="5" t="s">
        <v>75</v>
      </c>
      <c r="B19" s="5" t="s">
        <v>76</v>
      </c>
      <c r="C19" s="9" t="n">
        <f aca="false">0.3</f>
        <v>0.3</v>
      </c>
      <c r="D19" s="9" t="n">
        <v>0.047</v>
      </c>
      <c r="E19" s="10" t="n">
        <v>8</v>
      </c>
      <c r="F19" s="5" t="s">
        <v>144</v>
      </c>
      <c r="G19" s="5" t="s">
        <v>145</v>
      </c>
      <c r="H19" s="5" t="s">
        <v>146</v>
      </c>
      <c r="I19" s="5" t="s">
        <v>147</v>
      </c>
      <c r="J19" s="5" t="s">
        <v>169</v>
      </c>
    </row>
    <row r="20" customFormat="false" ht="33.75" hidden="false" customHeight="true" outlineLevel="0" collapsed="false">
      <c r="A20" s="5" t="s">
        <v>170</v>
      </c>
      <c r="B20" s="5" t="s">
        <v>171</v>
      </c>
      <c r="C20" s="9" t="n">
        <f aca="false">0.1</f>
        <v>0.1</v>
      </c>
      <c r="D20" s="9" t="n">
        <v>0.055</v>
      </c>
      <c r="E20" s="10" t="n">
        <v>3</v>
      </c>
      <c r="F20" s="5" t="s">
        <v>144</v>
      </c>
      <c r="G20" s="5" t="s">
        <v>145</v>
      </c>
      <c r="H20" s="5" t="s">
        <v>146</v>
      </c>
      <c r="I20" s="5" t="s">
        <v>160</v>
      </c>
      <c r="J20" s="5" t="s">
        <v>172</v>
      </c>
    </row>
    <row r="21" customFormat="false" ht="33.75" hidden="false" customHeight="true" outlineLevel="0" collapsed="false">
      <c r="A21" s="5" t="s">
        <v>79</v>
      </c>
      <c r="B21" s="5" t="s">
        <v>80</v>
      </c>
      <c r="C21" s="9" t="n">
        <v>0</v>
      </c>
      <c r="D21" s="9" t="n">
        <v>0.003</v>
      </c>
      <c r="E21" s="10" t="n">
        <v>1</v>
      </c>
      <c r="F21" s="5" t="s">
        <v>173</v>
      </c>
      <c r="G21" s="5" t="s">
        <v>145</v>
      </c>
      <c r="H21" s="5" t="s">
        <v>146</v>
      </c>
      <c r="I21" s="5" t="s">
        <v>160</v>
      </c>
      <c r="J21" s="5" t="s">
        <v>172</v>
      </c>
    </row>
    <row r="22" customFormat="false" ht="54.75" hidden="false" customHeight="true" outlineLevel="0" collapsed="false">
      <c r="A22" s="5" t="s">
        <v>174</v>
      </c>
      <c r="B22" s="5" t="s">
        <v>175</v>
      </c>
      <c r="C22" s="9" t="n">
        <v>0.04</v>
      </c>
      <c r="D22" s="9" t="n">
        <v>0.01</v>
      </c>
      <c r="E22" s="10" t="n">
        <v>2</v>
      </c>
      <c r="F22" s="5" t="s">
        <v>144</v>
      </c>
      <c r="G22" s="5" t="s">
        <v>176</v>
      </c>
      <c r="H22" s="5" t="s">
        <v>177</v>
      </c>
      <c r="I22" s="11" t="s">
        <v>155</v>
      </c>
      <c r="J22" s="5" t="s">
        <v>178</v>
      </c>
    </row>
    <row r="23" customFormat="false" ht="14.25" hidden="false" customHeight="true" outlineLevel="0" collapsed="false">
      <c r="C23" s="12"/>
      <c r="D23" s="12"/>
      <c r="E23" s="13"/>
    </row>
    <row r="24" customFormat="false" ht="14.25" hidden="false" customHeight="true" outlineLevel="0" collapsed="false">
      <c r="C24" s="12"/>
      <c r="D24" s="12"/>
      <c r="E24" s="13"/>
    </row>
    <row r="25" customFormat="false" ht="14.25" hidden="false" customHeight="true" outlineLevel="0" collapsed="false">
      <c r="C25" s="12"/>
      <c r="D25" s="12"/>
      <c r="E25" s="13"/>
    </row>
    <row r="26" customFormat="false" ht="14.25" hidden="false" customHeight="true" outlineLevel="0" collapsed="false">
      <c r="C26" s="12"/>
      <c r="D26" s="12"/>
      <c r="E26" s="13"/>
    </row>
    <row r="27" customFormat="false" ht="14.25" hidden="false" customHeight="true" outlineLevel="0" collapsed="false">
      <c r="C27" s="12"/>
      <c r="D27" s="12"/>
      <c r="E27" s="13"/>
    </row>
    <row r="28" customFormat="false" ht="14.25" hidden="false" customHeight="true" outlineLevel="0" collapsed="false">
      <c r="C28" s="12"/>
      <c r="D28" s="12"/>
      <c r="E28" s="13"/>
    </row>
    <row r="29" customFormat="false" ht="14.25" hidden="false" customHeight="true" outlineLevel="0" collapsed="false">
      <c r="C29" s="12"/>
      <c r="D29" s="12"/>
      <c r="E29" s="13"/>
    </row>
    <row r="30" customFormat="false" ht="14.25" hidden="false" customHeight="true" outlineLevel="0" collapsed="false">
      <c r="C30" s="12"/>
      <c r="D30" s="12"/>
      <c r="E30" s="13"/>
    </row>
    <row r="31" customFormat="false" ht="14.25" hidden="false" customHeight="true" outlineLevel="0" collapsed="false">
      <c r="C31" s="12"/>
      <c r="D31" s="12"/>
      <c r="E31" s="13"/>
    </row>
    <row r="32" customFormat="false" ht="14.25" hidden="false" customHeight="true" outlineLevel="0" collapsed="false">
      <c r="C32" s="12"/>
      <c r="D32" s="12"/>
      <c r="E32" s="13"/>
    </row>
    <row r="33" customFormat="false" ht="14.25" hidden="false" customHeight="true" outlineLevel="0" collapsed="false">
      <c r="C33" s="12"/>
      <c r="D33" s="12"/>
      <c r="E33" s="13"/>
    </row>
    <row r="34" customFormat="false" ht="14.25" hidden="false" customHeight="true" outlineLevel="0" collapsed="false">
      <c r="C34" s="12"/>
      <c r="D34" s="12"/>
      <c r="E34" s="13"/>
    </row>
    <row r="35" customFormat="false" ht="14.25" hidden="false" customHeight="true" outlineLevel="0" collapsed="false">
      <c r="C35" s="12"/>
      <c r="D35" s="12"/>
      <c r="E35" s="13"/>
    </row>
    <row r="36" customFormat="false" ht="14.25" hidden="false" customHeight="true" outlineLevel="0" collapsed="false">
      <c r="C36" s="12"/>
      <c r="D36" s="12"/>
      <c r="E36" s="13"/>
    </row>
    <row r="37" customFormat="false" ht="14.25" hidden="false" customHeight="true" outlineLevel="0" collapsed="false">
      <c r="C37" s="12"/>
      <c r="D37" s="12"/>
      <c r="E37" s="13"/>
    </row>
    <row r="38" customFormat="false" ht="14.25" hidden="false" customHeight="true" outlineLevel="0" collapsed="false">
      <c r="C38" s="12"/>
      <c r="D38" s="12"/>
      <c r="E38" s="13"/>
    </row>
    <row r="39" customFormat="false" ht="14.25" hidden="false" customHeight="true" outlineLevel="0" collapsed="false">
      <c r="C39" s="12"/>
      <c r="D39" s="12"/>
      <c r="E39" s="13"/>
    </row>
    <row r="40" customFormat="false" ht="14.25" hidden="false" customHeight="true" outlineLevel="0" collapsed="false">
      <c r="C40" s="12"/>
      <c r="D40" s="12"/>
      <c r="E40" s="13"/>
    </row>
    <row r="41" customFormat="false" ht="14.25" hidden="false" customHeight="true" outlineLevel="0" collapsed="false">
      <c r="C41" s="12"/>
      <c r="D41" s="12"/>
      <c r="E41" s="13"/>
    </row>
    <row r="42" customFormat="false" ht="14.25" hidden="false" customHeight="true" outlineLevel="0" collapsed="false">
      <c r="C42" s="12"/>
      <c r="D42" s="12"/>
      <c r="E42" s="13"/>
    </row>
    <row r="43" customFormat="false" ht="14.25" hidden="false" customHeight="true" outlineLevel="0" collapsed="false">
      <c r="C43" s="12"/>
      <c r="D43" s="12"/>
      <c r="E43" s="13"/>
    </row>
    <row r="44" customFormat="false" ht="14.25" hidden="false" customHeight="true" outlineLevel="0" collapsed="false">
      <c r="C44" s="12"/>
      <c r="D44" s="12"/>
      <c r="E44" s="13"/>
    </row>
    <row r="45" customFormat="false" ht="14.25" hidden="false" customHeight="true" outlineLevel="0" collapsed="false">
      <c r="C45" s="12"/>
      <c r="D45" s="12"/>
      <c r="E45" s="13"/>
    </row>
    <row r="46" customFormat="false" ht="14.25" hidden="false" customHeight="true" outlineLevel="0" collapsed="false">
      <c r="C46" s="12"/>
      <c r="D46" s="12"/>
      <c r="E46" s="13"/>
    </row>
    <row r="47" customFormat="false" ht="14.25" hidden="false" customHeight="true" outlineLevel="0" collapsed="false">
      <c r="C47" s="12"/>
      <c r="D47" s="12"/>
      <c r="E47" s="13"/>
    </row>
    <row r="48" customFormat="false" ht="14.25" hidden="false" customHeight="true" outlineLevel="0" collapsed="false">
      <c r="C48" s="12"/>
      <c r="D48" s="12"/>
      <c r="E48" s="13"/>
    </row>
    <row r="49" customFormat="false" ht="14.25" hidden="false" customHeight="true" outlineLevel="0" collapsed="false">
      <c r="C49" s="12"/>
      <c r="D49" s="12"/>
      <c r="E49" s="13"/>
    </row>
    <row r="50" customFormat="false" ht="14.25" hidden="false" customHeight="true" outlineLevel="0" collapsed="false">
      <c r="C50" s="12"/>
      <c r="D50" s="12"/>
      <c r="E50" s="13"/>
    </row>
    <row r="51" customFormat="false" ht="14.25" hidden="false" customHeight="true" outlineLevel="0" collapsed="false">
      <c r="C51" s="12"/>
      <c r="D51" s="12"/>
      <c r="E51" s="13"/>
    </row>
    <row r="52" customFormat="false" ht="14.25" hidden="false" customHeight="true" outlineLevel="0" collapsed="false">
      <c r="C52" s="12"/>
      <c r="D52" s="12"/>
      <c r="E52" s="13"/>
    </row>
    <row r="53" customFormat="false" ht="14.25" hidden="false" customHeight="true" outlineLevel="0" collapsed="false">
      <c r="C53" s="12"/>
      <c r="D53" s="12"/>
      <c r="E53" s="13"/>
    </row>
    <row r="54" customFormat="false" ht="14.25" hidden="false" customHeight="true" outlineLevel="0" collapsed="false">
      <c r="C54" s="12"/>
      <c r="D54" s="12"/>
      <c r="E54" s="13"/>
    </row>
    <row r="55" customFormat="false" ht="14.25" hidden="false" customHeight="true" outlineLevel="0" collapsed="false">
      <c r="C55" s="12"/>
      <c r="D55" s="12"/>
      <c r="E55" s="13"/>
    </row>
    <row r="56" customFormat="false" ht="14.25" hidden="false" customHeight="true" outlineLevel="0" collapsed="false">
      <c r="C56" s="12"/>
      <c r="D56" s="12"/>
      <c r="E56" s="13"/>
    </row>
    <row r="57" customFormat="false" ht="14.25" hidden="false" customHeight="true" outlineLevel="0" collapsed="false">
      <c r="C57" s="12"/>
      <c r="D57" s="12"/>
      <c r="E57" s="13"/>
    </row>
    <row r="58" customFormat="false" ht="14.25" hidden="false" customHeight="true" outlineLevel="0" collapsed="false">
      <c r="C58" s="12"/>
      <c r="D58" s="12"/>
      <c r="E58" s="13"/>
    </row>
    <row r="59" customFormat="false" ht="14.25" hidden="false" customHeight="true" outlineLevel="0" collapsed="false">
      <c r="C59" s="12"/>
      <c r="D59" s="12"/>
      <c r="E59" s="13"/>
    </row>
    <row r="60" customFormat="false" ht="14.25" hidden="false" customHeight="true" outlineLevel="0" collapsed="false">
      <c r="C60" s="12"/>
      <c r="D60" s="12"/>
      <c r="E60" s="13"/>
    </row>
    <row r="61" customFormat="false" ht="14.25" hidden="false" customHeight="true" outlineLevel="0" collapsed="false">
      <c r="C61" s="12"/>
      <c r="D61" s="12"/>
      <c r="E61" s="13"/>
    </row>
    <row r="62" customFormat="false" ht="14.25" hidden="false" customHeight="true" outlineLevel="0" collapsed="false">
      <c r="C62" s="12"/>
      <c r="D62" s="12"/>
      <c r="E62" s="13"/>
    </row>
    <row r="63" customFormat="false" ht="14.25" hidden="false" customHeight="true" outlineLevel="0" collapsed="false">
      <c r="C63" s="12"/>
      <c r="D63" s="12"/>
      <c r="E63" s="13"/>
    </row>
    <row r="64" customFormat="false" ht="14.25" hidden="false" customHeight="true" outlineLevel="0" collapsed="false">
      <c r="C64" s="12"/>
      <c r="D64" s="12"/>
      <c r="E64" s="13"/>
    </row>
    <row r="65" customFormat="false" ht="14.25" hidden="false" customHeight="true" outlineLevel="0" collapsed="false">
      <c r="C65" s="12"/>
      <c r="D65" s="12"/>
      <c r="E65" s="13"/>
    </row>
    <row r="66" customFormat="false" ht="14.25" hidden="false" customHeight="true" outlineLevel="0" collapsed="false">
      <c r="C66" s="12"/>
      <c r="D66" s="12"/>
      <c r="E66" s="13"/>
    </row>
    <row r="67" customFormat="false" ht="14.25" hidden="false" customHeight="true" outlineLevel="0" collapsed="false">
      <c r="C67" s="12"/>
      <c r="D67" s="12"/>
      <c r="E67" s="13"/>
    </row>
    <row r="68" customFormat="false" ht="14.25" hidden="false" customHeight="true" outlineLevel="0" collapsed="false">
      <c r="C68" s="12"/>
      <c r="D68" s="12"/>
      <c r="E68" s="13"/>
    </row>
    <row r="69" customFormat="false" ht="14.25" hidden="false" customHeight="true" outlineLevel="0" collapsed="false">
      <c r="C69" s="12"/>
      <c r="D69" s="12"/>
      <c r="E69" s="13"/>
    </row>
    <row r="70" customFormat="false" ht="14.25" hidden="false" customHeight="true" outlineLevel="0" collapsed="false">
      <c r="C70" s="12"/>
      <c r="D70" s="12"/>
      <c r="E70" s="13"/>
    </row>
    <row r="71" customFormat="false" ht="14.25" hidden="false" customHeight="true" outlineLevel="0" collapsed="false">
      <c r="C71" s="12"/>
      <c r="D71" s="12"/>
      <c r="E71" s="13"/>
    </row>
    <row r="72" customFormat="false" ht="14.25" hidden="false" customHeight="true" outlineLevel="0" collapsed="false">
      <c r="C72" s="12"/>
      <c r="D72" s="12"/>
      <c r="E72" s="13"/>
    </row>
    <row r="73" customFormat="false" ht="14.25" hidden="false" customHeight="true" outlineLevel="0" collapsed="false">
      <c r="C73" s="12"/>
      <c r="D73" s="12"/>
      <c r="E73" s="13"/>
    </row>
    <row r="74" customFormat="false" ht="14.25" hidden="false" customHeight="true" outlineLevel="0" collapsed="false">
      <c r="C74" s="12"/>
      <c r="D74" s="12"/>
      <c r="E74" s="13"/>
    </row>
    <row r="75" customFormat="false" ht="14.25" hidden="false" customHeight="true" outlineLevel="0" collapsed="false">
      <c r="C75" s="12"/>
      <c r="D75" s="12"/>
      <c r="E75" s="13"/>
    </row>
    <row r="76" customFormat="false" ht="14.25" hidden="false" customHeight="true" outlineLevel="0" collapsed="false">
      <c r="C76" s="12"/>
      <c r="D76" s="12"/>
      <c r="E76" s="13"/>
    </row>
    <row r="77" customFormat="false" ht="14.25" hidden="false" customHeight="true" outlineLevel="0" collapsed="false">
      <c r="C77" s="12"/>
      <c r="D77" s="12"/>
      <c r="E77" s="13"/>
    </row>
    <row r="78" customFormat="false" ht="14.25" hidden="false" customHeight="true" outlineLevel="0" collapsed="false">
      <c r="C78" s="12"/>
      <c r="D78" s="12"/>
      <c r="E78" s="13"/>
    </row>
    <row r="79" customFormat="false" ht="14.25" hidden="false" customHeight="true" outlineLevel="0" collapsed="false">
      <c r="C79" s="12"/>
      <c r="D79" s="12"/>
      <c r="E79" s="13"/>
    </row>
    <row r="80" customFormat="false" ht="14.25" hidden="false" customHeight="true" outlineLevel="0" collapsed="false">
      <c r="C80" s="12"/>
      <c r="D80" s="12"/>
      <c r="E80" s="13"/>
    </row>
    <row r="81" customFormat="false" ht="14.25" hidden="false" customHeight="true" outlineLevel="0" collapsed="false">
      <c r="C81" s="12"/>
      <c r="D81" s="12"/>
      <c r="E81" s="13"/>
    </row>
    <row r="82" customFormat="false" ht="14.25" hidden="false" customHeight="true" outlineLevel="0" collapsed="false">
      <c r="C82" s="12"/>
      <c r="D82" s="12"/>
      <c r="E82" s="13"/>
    </row>
    <row r="83" customFormat="false" ht="14.25" hidden="false" customHeight="true" outlineLevel="0" collapsed="false">
      <c r="C83" s="12"/>
      <c r="D83" s="12"/>
      <c r="E83" s="13"/>
    </row>
    <row r="84" customFormat="false" ht="14.25" hidden="false" customHeight="true" outlineLevel="0" collapsed="false">
      <c r="C84" s="12"/>
      <c r="D84" s="12"/>
      <c r="E84" s="13"/>
    </row>
    <row r="85" customFormat="false" ht="14.25" hidden="false" customHeight="true" outlineLevel="0" collapsed="false">
      <c r="C85" s="12"/>
      <c r="D85" s="12"/>
      <c r="E85" s="13"/>
    </row>
    <row r="86" customFormat="false" ht="14.25" hidden="false" customHeight="true" outlineLevel="0" collapsed="false">
      <c r="C86" s="12"/>
      <c r="D86" s="12"/>
      <c r="E86" s="13"/>
    </row>
    <row r="87" customFormat="false" ht="14.25" hidden="false" customHeight="true" outlineLevel="0" collapsed="false">
      <c r="C87" s="12"/>
      <c r="D87" s="12"/>
      <c r="E87" s="13"/>
    </row>
    <row r="88" customFormat="false" ht="14.25" hidden="false" customHeight="true" outlineLevel="0" collapsed="false">
      <c r="C88" s="12"/>
      <c r="D88" s="12"/>
      <c r="E88" s="13"/>
    </row>
    <row r="89" customFormat="false" ht="14.25" hidden="false" customHeight="true" outlineLevel="0" collapsed="false">
      <c r="C89" s="12"/>
      <c r="D89" s="12"/>
      <c r="E89" s="13"/>
    </row>
    <row r="90" customFormat="false" ht="14.25" hidden="false" customHeight="true" outlineLevel="0" collapsed="false">
      <c r="C90" s="12"/>
      <c r="D90" s="12"/>
      <c r="E90" s="13"/>
    </row>
    <row r="91" customFormat="false" ht="14.25" hidden="false" customHeight="true" outlineLevel="0" collapsed="false">
      <c r="C91" s="12"/>
      <c r="D91" s="12"/>
      <c r="E91" s="13"/>
    </row>
    <row r="92" customFormat="false" ht="14.25" hidden="false" customHeight="true" outlineLevel="0" collapsed="false">
      <c r="C92" s="12"/>
      <c r="D92" s="12"/>
      <c r="E92" s="13"/>
    </row>
    <row r="93" customFormat="false" ht="14.25" hidden="false" customHeight="true" outlineLevel="0" collapsed="false">
      <c r="C93" s="12"/>
      <c r="D93" s="12"/>
      <c r="E93" s="13"/>
    </row>
    <row r="94" customFormat="false" ht="14.25" hidden="false" customHeight="true" outlineLevel="0" collapsed="false">
      <c r="C94" s="12"/>
      <c r="D94" s="12"/>
      <c r="E94" s="13"/>
    </row>
    <row r="95" customFormat="false" ht="14.25" hidden="false" customHeight="true" outlineLevel="0" collapsed="false">
      <c r="C95" s="12"/>
      <c r="D95" s="12"/>
      <c r="E95" s="13"/>
    </row>
    <row r="96" customFormat="false" ht="14.25" hidden="false" customHeight="true" outlineLevel="0" collapsed="false">
      <c r="C96" s="12"/>
      <c r="D96" s="12"/>
      <c r="E96" s="13"/>
    </row>
    <row r="97" customFormat="false" ht="14.25" hidden="false" customHeight="true" outlineLevel="0" collapsed="false">
      <c r="C97" s="12"/>
      <c r="D97" s="12"/>
      <c r="E97" s="13"/>
    </row>
    <row r="98" customFormat="false" ht="14.25" hidden="false" customHeight="true" outlineLevel="0" collapsed="false">
      <c r="C98" s="12"/>
      <c r="D98" s="12"/>
      <c r="E98" s="13"/>
    </row>
    <row r="99" customFormat="false" ht="14.25" hidden="false" customHeight="true" outlineLevel="0" collapsed="false">
      <c r="C99" s="12"/>
      <c r="D99" s="12"/>
      <c r="E99" s="13"/>
    </row>
    <row r="100" customFormat="false" ht="14.25" hidden="false" customHeight="true" outlineLevel="0" collapsed="false">
      <c r="C100" s="12"/>
      <c r="D100" s="12"/>
      <c r="E100" s="13"/>
    </row>
    <row r="101" customFormat="false" ht="14.25" hidden="false" customHeight="true" outlineLevel="0" collapsed="false">
      <c r="C101" s="12"/>
      <c r="D101" s="12"/>
      <c r="E101" s="13"/>
    </row>
    <row r="102" customFormat="false" ht="14.25" hidden="false" customHeight="true" outlineLevel="0" collapsed="false">
      <c r="C102" s="12"/>
      <c r="D102" s="12"/>
      <c r="E102" s="13"/>
    </row>
    <row r="103" customFormat="false" ht="14.25" hidden="false" customHeight="true" outlineLevel="0" collapsed="false">
      <c r="C103" s="12"/>
      <c r="D103" s="12"/>
      <c r="E103" s="13"/>
    </row>
    <row r="104" customFormat="false" ht="14.25" hidden="false" customHeight="true" outlineLevel="0" collapsed="false">
      <c r="C104" s="12"/>
      <c r="D104" s="12"/>
      <c r="E104" s="13"/>
    </row>
    <row r="105" customFormat="false" ht="14.25" hidden="false" customHeight="true" outlineLevel="0" collapsed="false">
      <c r="C105" s="12"/>
      <c r="D105" s="12"/>
      <c r="E105" s="13"/>
    </row>
    <row r="106" customFormat="false" ht="14.25" hidden="false" customHeight="true" outlineLevel="0" collapsed="false">
      <c r="C106" s="12"/>
      <c r="D106" s="12"/>
      <c r="E106" s="13"/>
    </row>
    <row r="107" customFormat="false" ht="14.25" hidden="false" customHeight="true" outlineLevel="0" collapsed="false">
      <c r="C107" s="12"/>
      <c r="D107" s="12"/>
      <c r="E107" s="13"/>
    </row>
    <row r="108" customFormat="false" ht="14.25" hidden="false" customHeight="true" outlineLevel="0" collapsed="false">
      <c r="C108" s="12"/>
      <c r="D108" s="12"/>
      <c r="E108" s="13"/>
    </row>
    <row r="109" customFormat="false" ht="14.25" hidden="false" customHeight="true" outlineLevel="0" collapsed="false">
      <c r="C109" s="12"/>
      <c r="D109" s="12"/>
      <c r="E109" s="13"/>
    </row>
    <row r="110" customFormat="false" ht="14.25" hidden="false" customHeight="true" outlineLevel="0" collapsed="false">
      <c r="C110" s="12"/>
      <c r="D110" s="12"/>
      <c r="E110" s="13"/>
    </row>
    <row r="111" customFormat="false" ht="14.25" hidden="false" customHeight="true" outlineLevel="0" collapsed="false">
      <c r="C111" s="12"/>
      <c r="D111" s="12"/>
      <c r="E111" s="13"/>
    </row>
    <row r="112" customFormat="false" ht="14.25" hidden="false" customHeight="true" outlineLevel="0" collapsed="false">
      <c r="C112" s="12"/>
      <c r="D112" s="12"/>
      <c r="E112" s="13"/>
    </row>
    <row r="113" customFormat="false" ht="14.25" hidden="false" customHeight="true" outlineLevel="0" collapsed="false">
      <c r="C113" s="12"/>
      <c r="D113" s="12"/>
      <c r="E113" s="13"/>
    </row>
    <row r="114" customFormat="false" ht="14.25" hidden="false" customHeight="true" outlineLevel="0" collapsed="false">
      <c r="C114" s="12"/>
      <c r="D114" s="12"/>
      <c r="E114" s="13"/>
    </row>
    <row r="115" customFormat="false" ht="14.25" hidden="false" customHeight="true" outlineLevel="0" collapsed="false">
      <c r="C115" s="12"/>
      <c r="D115" s="12"/>
      <c r="E115" s="13"/>
    </row>
    <row r="116" customFormat="false" ht="14.25" hidden="false" customHeight="true" outlineLevel="0" collapsed="false">
      <c r="C116" s="12"/>
      <c r="D116" s="12"/>
      <c r="E116" s="13"/>
    </row>
    <row r="117" customFormat="false" ht="14.25" hidden="false" customHeight="true" outlineLevel="0" collapsed="false">
      <c r="C117" s="12"/>
      <c r="D117" s="12"/>
      <c r="E117" s="13"/>
    </row>
    <row r="118" customFormat="false" ht="14.25" hidden="false" customHeight="true" outlineLevel="0" collapsed="false">
      <c r="C118" s="12"/>
      <c r="D118" s="12"/>
      <c r="E118" s="13"/>
    </row>
    <row r="119" customFormat="false" ht="14.25" hidden="false" customHeight="true" outlineLevel="0" collapsed="false">
      <c r="C119" s="12"/>
      <c r="D119" s="12"/>
      <c r="E119" s="13"/>
    </row>
    <row r="120" customFormat="false" ht="14.25" hidden="false" customHeight="true" outlineLevel="0" collapsed="false">
      <c r="C120" s="12"/>
      <c r="D120" s="12"/>
      <c r="E120" s="13"/>
    </row>
    <row r="121" customFormat="false" ht="14.25" hidden="false" customHeight="true" outlineLevel="0" collapsed="false">
      <c r="C121" s="12"/>
      <c r="D121" s="12"/>
      <c r="E121" s="13"/>
    </row>
    <row r="122" customFormat="false" ht="14.25" hidden="false" customHeight="true" outlineLevel="0" collapsed="false">
      <c r="C122" s="12"/>
      <c r="D122" s="12"/>
      <c r="E122" s="13"/>
    </row>
    <row r="123" customFormat="false" ht="14.25" hidden="false" customHeight="true" outlineLevel="0" collapsed="false">
      <c r="C123" s="12"/>
      <c r="D123" s="12"/>
      <c r="E123" s="13"/>
    </row>
    <row r="124" customFormat="false" ht="14.25" hidden="false" customHeight="true" outlineLevel="0" collapsed="false">
      <c r="C124" s="12"/>
      <c r="D124" s="12"/>
      <c r="E124" s="13"/>
    </row>
    <row r="125" customFormat="false" ht="14.25" hidden="false" customHeight="true" outlineLevel="0" collapsed="false">
      <c r="C125" s="12"/>
      <c r="D125" s="12"/>
      <c r="E125" s="13"/>
    </row>
    <row r="126" customFormat="false" ht="14.25" hidden="false" customHeight="true" outlineLevel="0" collapsed="false">
      <c r="C126" s="12"/>
      <c r="D126" s="12"/>
      <c r="E126" s="13"/>
    </row>
    <row r="127" customFormat="false" ht="14.25" hidden="false" customHeight="true" outlineLevel="0" collapsed="false">
      <c r="C127" s="12"/>
      <c r="D127" s="12"/>
      <c r="E127" s="13"/>
    </row>
    <row r="128" customFormat="false" ht="14.25" hidden="false" customHeight="true" outlineLevel="0" collapsed="false">
      <c r="C128" s="12"/>
      <c r="D128" s="12"/>
      <c r="E128" s="13"/>
    </row>
    <row r="129" customFormat="false" ht="14.25" hidden="false" customHeight="true" outlineLevel="0" collapsed="false">
      <c r="C129" s="12"/>
      <c r="D129" s="12"/>
      <c r="E129" s="13"/>
    </row>
    <row r="130" customFormat="false" ht="14.25" hidden="false" customHeight="true" outlineLevel="0" collapsed="false">
      <c r="C130" s="12"/>
      <c r="D130" s="12"/>
      <c r="E130" s="13"/>
    </row>
    <row r="131" customFormat="false" ht="14.25" hidden="false" customHeight="true" outlineLevel="0" collapsed="false">
      <c r="C131" s="12"/>
      <c r="D131" s="12"/>
      <c r="E131" s="13"/>
    </row>
    <row r="132" customFormat="false" ht="14.25" hidden="false" customHeight="true" outlineLevel="0" collapsed="false">
      <c r="C132" s="12"/>
      <c r="D132" s="12"/>
      <c r="E132" s="13"/>
    </row>
    <row r="133" customFormat="false" ht="14.25" hidden="false" customHeight="true" outlineLevel="0" collapsed="false">
      <c r="C133" s="12"/>
      <c r="D133" s="12"/>
      <c r="E133" s="13"/>
    </row>
    <row r="134" customFormat="false" ht="14.25" hidden="false" customHeight="true" outlineLevel="0" collapsed="false">
      <c r="C134" s="12"/>
      <c r="D134" s="12"/>
      <c r="E134" s="13"/>
    </row>
    <row r="135" customFormat="false" ht="14.25" hidden="false" customHeight="true" outlineLevel="0" collapsed="false">
      <c r="C135" s="12"/>
      <c r="D135" s="12"/>
      <c r="E135" s="13"/>
    </row>
    <row r="136" customFormat="false" ht="14.25" hidden="false" customHeight="true" outlineLevel="0" collapsed="false">
      <c r="C136" s="12"/>
      <c r="D136" s="12"/>
      <c r="E136" s="13"/>
    </row>
    <row r="137" customFormat="false" ht="14.25" hidden="false" customHeight="true" outlineLevel="0" collapsed="false">
      <c r="C137" s="12"/>
      <c r="D137" s="12"/>
      <c r="E137" s="13"/>
    </row>
    <row r="138" customFormat="false" ht="14.25" hidden="false" customHeight="true" outlineLevel="0" collapsed="false">
      <c r="C138" s="12"/>
      <c r="D138" s="12"/>
      <c r="E138" s="13"/>
    </row>
    <row r="139" customFormat="false" ht="14.25" hidden="false" customHeight="true" outlineLevel="0" collapsed="false">
      <c r="C139" s="12"/>
      <c r="D139" s="12"/>
      <c r="E139" s="13"/>
    </row>
    <row r="140" customFormat="false" ht="14.25" hidden="false" customHeight="true" outlineLevel="0" collapsed="false">
      <c r="C140" s="12"/>
      <c r="D140" s="12"/>
      <c r="E140" s="13"/>
    </row>
    <row r="141" customFormat="false" ht="14.25" hidden="false" customHeight="true" outlineLevel="0" collapsed="false">
      <c r="C141" s="12"/>
      <c r="D141" s="12"/>
      <c r="E141" s="13"/>
    </row>
    <row r="142" customFormat="false" ht="14.25" hidden="false" customHeight="true" outlineLevel="0" collapsed="false">
      <c r="C142" s="12"/>
      <c r="D142" s="12"/>
      <c r="E142" s="13"/>
    </row>
    <row r="143" customFormat="false" ht="14.25" hidden="false" customHeight="true" outlineLevel="0" collapsed="false">
      <c r="C143" s="12"/>
      <c r="D143" s="12"/>
      <c r="E143" s="13"/>
    </row>
    <row r="144" customFormat="false" ht="14.25" hidden="false" customHeight="true" outlineLevel="0" collapsed="false">
      <c r="C144" s="12"/>
      <c r="D144" s="12"/>
      <c r="E144" s="13"/>
    </row>
    <row r="145" customFormat="false" ht="14.25" hidden="false" customHeight="true" outlineLevel="0" collapsed="false">
      <c r="C145" s="12"/>
      <c r="D145" s="12"/>
      <c r="E145" s="13"/>
    </row>
    <row r="146" customFormat="false" ht="14.25" hidden="false" customHeight="true" outlineLevel="0" collapsed="false">
      <c r="C146" s="12"/>
      <c r="D146" s="12"/>
      <c r="E146" s="13"/>
    </row>
    <row r="147" customFormat="false" ht="14.25" hidden="false" customHeight="true" outlineLevel="0" collapsed="false">
      <c r="C147" s="12"/>
      <c r="D147" s="12"/>
      <c r="E147" s="13"/>
    </row>
    <row r="148" customFormat="false" ht="14.25" hidden="false" customHeight="true" outlineLevel="0" collapsed="false">
      <c r="C148" s="12"/>
      <c r="D148" s="12"/>
      <c r="E148" s="13"/>
    </row>
    <row r="149" customFormat="false" ht="14.25" hidden="false" customHeight="true" outlineLevel="0" collapsed="false">
      <c r="C149" s="12"/>
      <c r="D149" s="12"/>
      <c r="E149" s="13"/>
    </row>
    <row r="150" customFormat="false" ht="14.25" hidden="false" customHeight="true" outlineLevel="0" collapsed="false">
      <c r="C150" s="12"/>
      <c r="D150" s="12"/>
      <c r="E150" s="13"/>
    </row>
    <row r="151" customFormat="false" ht="14.25" hidden="false" customHeight="true" outlineLevel="0" collapsed="false">
      <c r="C151" s="12"/>
      <c r="D151" s="12"/>
      <c r="E151" s="13"/>
    </row>
    <row r="152" customFormat="false" ht="14.25" hidden="false" customHeight="true" outlineLevel="0" collapsed="false">
      <c r="C152" s="12"/>
      <c r="D152" s="12"/>
      <c r="E152" s="13"/>
    </row>
    <row r="153" customFormat="false" ht="14.25" hidden="false" customHeight="true" outlineLevel="0" collapsed="false">
      <c r="C153" s="12"/>
      <c r="D153" s="12"/>
      <c r="E153" s="13"/>
    </row>
    <row r="154" customFormat="false" ht="14.25" hidden="false" customHeight="true" outlineLevel="0" collapsed="false">
      <c r="C154" s="12"/>
      <c r="D154" s="12"/>
      <c r="E154" s="13"/>
    </row>
    <row r="155" customFormat="false" ht="14.25" hidden="false" customHeight="true" outlineLevel="0" collapsed="false">
      <c r="C155" s="12"/>
      <c r="D155" s="12"/>
      <c r="E155" s="13"/>
    </row>
    <row r="156" customFormat="false" ht="14.25" hidden="false" customHeight="true" outlineLevel="0" collapsed="false">
      <c r="C156" s="12"/>
      <c r="D156" s="12"/>
      <c r="E156" s="13"/>
    </row>
    <row r="157" customFormat="false" ht="14.25" hidden="false" customHeight="true" outlineLevel="0" collapsed="false">
      <c r="C157" s="12"/>
      <c r="D157" s="12"/>
      <c r="E157" s="13"/>
    </row>
    <row r="158" customFormat="false" ht="14.25" hidden="false" customHeight="true" outlineLevel="0" collapsed="false">
      <c r="C158" s="12"/>
      <c r="D158" s="12"/>
      <c r="E158" s="13"/>
    </row>
    <row r="159" customFormat="false" ht="14.25" hidden="false" customHeight="true" outlineLevel="0" collapsed="false">
      <c r="C159" s="12"/>
      <c r="D159" s="12"/>
      <c r="E159" s="13"/>
    </row>
    <row r="160" customFormat="false" ht="14.25" hidden="false" customHeight="true" outlineLevel="0" collapsed="false">
      <c r="C160" s="12"/>
      <c r="D160" s="12"/>
      <c r="E160" s="13"/>
    </row>
    <row r="161" customFormat="false" ht="14.25" hidden="false" customHeight="true" outlineLevel="0" collapsed="false">
      <c r="C161" s="12"/>
      <c r="D161" s="12"/>
      <c r="E161" s="13"/>
    </row>
    <row r="162" customFormat="false" ht="14.25" hidden="false" customHeight="true" outlineLevel="0" collapsed="false">
      <c r="C162" s="12"/>
      <c r="D162" s="12"/>
      <c r="E162" s="13"/>
    </row>
    <row r="163" customFormat="false" ht="14.25" hidden="false" customHeight="true" outlineLevel="0" collapsed="false">
      <c r="C163" s="12"/>
      <c r="D163" s="12"/>
      <c r="E163" s="13"/>
    </row>
    <row r="164" customFormat="false" ht="14.25" hidden="false" customHeight="true" outlineLevel="0" collapsed="false">
      <c r="C164" s="12"/>
      <c r="D164" s="12"/>
      <c r="E164" s="13"/>
    </row>
    <row r="165" customFormat="false" ht="14.25" hidden="false" customHeight="true" outlineLevel="0" collapsed="false">
      <c r="C165" s="12"/>
      <c r="D165" s="12"/>
      <c r="E165" s="13"/>
    </row>
    <row r="166" customFormat="false" ht="14.25" hidden="false" customHeight="true" outlineLevel="0" collapsed="false">
      <c r="C166" s="12"/>
      <c r="D166" s="12"/>
      <c r="E166" s="13"/>
    </row>
    <row r="167" customFormat="false" ht="14.25" hidden="false" customHeight="true" outlineLevel="0" collapsed="false">
      <c r="C167" s="12"/>
      <c r="D167" s="12"/>
      <c r="E167" s="13"/>
    </row>
    <row r="168" customFormat="false" ht="14.25" hidden="false" customHeight="true" outlineLevel="0" collapsed="false">
      <c r="C168" s="12"/>
      <c r="D168" s="12"/>
      <c r="E168" s="13"/>
    </row>
    <row r="169" customFormat="false" ht="14.25" hidden="false" customHeight="true" outlineLevel="0" collapsed="false">
      <c r="C169" s="12"/>
      <c r="D169" s="12"/>
      <c r="E169" s="13"/>
    </row>
    <row r="170" customFormat="false" ht="14.25" hidden="false" customHeight="true" outlineLevel="0" collapsed="false">
      <c r="C170" s="12"/>
      <c r="D170" s="12"/>
      <c r="E170" s="13"/>
    </row>
    <row r="171" customFormat="false" ht="14.25" hidden="false" customHeight="true" outlineLevel="0" collapsed="false">
      <c r="C171" s="12"/>
      <c r="D171" s="12"/>
      <c r="E171" s="13"/>
    </row>
    <row r="172" customFormat="false" ht="14.25" hidden="false" customHeight="true" outlineLevel="0" collapsed="false">
      <c r="C172" s="12"/>
      <c r="D172" s="12"/>
      <c r="E172" s="13"/>
    </row>
    <row r="173" customFormat="false" ht="14.25" hidden="false" customHeight="true" outlineLevel="0" collapsed="false">
      <c r="C173" s="12"/>
      <c r="D173" s="12"/>
      <c r="E173" s="13"/>
    </row>
    <row r="174" customFormat="false" ht="14.25" hidden="false" customHeight="true" outlineLevel="0" collapsed="false">
      <c r="C174" s="12"/>
      <c r="D174" s="12"/>
      <c r="E174" s="13"/>
    </row>
    <row r="175" customFormat="false" ht="14.25" hidden="false" customHeight="true" outlineLevel="0" collapsed="false">
      <c r="C175" s="12"/>
      <c r="D175" s="12"/>
      <c r="E175" s="13"/>
    </row>
    <row r="176" customFormat="false" ht="14.25" hidden="false" customHeight="true" outlineLevel="0" collapsed="false">
      <c r="C176" s="12"/>
      <c r="D176" s="12"/>
      <c r="E176" s="13"/>
    </row>
    <row r="177" customFormat="false" ht="14.25" hidden="false" customHeight="true" outlineLevel="0" collapsed="false">
      <c r="C177" s="12"/>
      <c r="D177" s="12"/>
      <c r="E177" s="13"/>
    </row>
    <row r="178" customFormat="false" ht="14.25" hidden="false" customHeight="true" outlineLevel="0" collapsed="false">
      <c r="C178" s="12"/>
      <c r="D178" s="12"/>
      <c r="E178" s="13"/>
    </row>
    <row r="179" customFormat="false" ht="14.25" hidden="false" customHeight="true" outlineLevel="0" collapsed="false">
      <c r="C179" s="12"/>
      <c r="D179" s="12"/>
      <c r="E179" s="13"/>
    </row>
    <row r="180" customFormat="false" ht="14.25" hidden="false" customHeight="true" outlineLevel="0" collapsed="false">
      <c r="C180" s="12"/>
      <c r="D180" s="12"/>
      <c r="E180" s="13"/>
    </row>
    <row r="181" customFormat="false" ht="14.25" hidden="false" customHeight="true" outlineLevel="0" collapsed="false">
      <c r="C181" s="12"/>
      <c r="D181" s="12"/>
      <c r="E181" s="13"/>
    </row>
    <row r="182" customFormat="false" ht="14.25" hidden="false" customHeight="true" outlineLevel="0" collapsed="false">
      <c r="C182" s="12"/>
      <c r="D182" s="12"/>
      <c r="E182" s="13"/>
    </row>
    <row r="183" customFormat="false" ht="14.25" hidden="false" customHeight="true" outlineLevel="0" collapsed="false">
      <c r="C183" s="12"/>
      <c r="D183" s="12"/>
      <c r="E183" s="13"/>
    </row>
    <row r="184" customFormat="false" ht="14.25" hidden="false" customHeight="true" outlineLevel="0" collapsed="false">
      <c r="C184" s="12"/>
      <c r="D184" s="12"/>
      <c r="E184" s="13"/>
    </row>
    <row r="185" customFormat="false" ht="14.25" hidden="false" customHeight="true" outlineLevel="0" collapsed="false">
      <c r="C185" s="12"/>
      <c r="D185" s="12"/>
      <c r="E185" s="13"/>
    </row>
    <row r="186" customFormat="false" ht="14.25" hidden="false" customHeight="true" outlineLevel="0" collapsed="false">
      <c r="C186" s="12"/>
      <c r="D186" s="12"/>
      <c r="E186" s="13"/>
    </row>
    <row r="187" customFormat="false" ht="14.25" hidden="false" customHeight="true" outlineLevel="0" collapsed="false">
      <c r="C187" s="12"/>
      <c r="D187" s="12"/>
      <c r="E187" s="13"/>
    </row>
    <row r="188" customFormat="false" ht="14.25" hidden="false" customHeight="true" outlineLevel="0" collapsed="false">
      <c r="C188" s="12"/>
      <c r="D188" s="12"/>
      <c r="E188" s="13"/>
    </row>
    <row r="189" customFormat="false" ht="14.25" hidden="false" customHeight="true" outlineLevel="0" collapsed="false">
      <c r="C189" s="12"/>
      <c r="D189" s="12"/>
      <c r="E189" s="13"/>
    </row>
    <row r="190" customFormat="false" ht="14.25" hidden="false" customHeight="true" outlineLevel="0" collapsed="false">
      <c r="C190" s="12"/>
      <c r="D190" s="12"/>
      <c r="E190" s="13"/>
    </row>
    <row r="191" customFormat="false" ht="14.25" hidden="false" customHeight="true" outlineLevel="0" collapsed="false">
      <c r="C191" s="12"/>
      <c r="D191" s="12"/>
      <c r="E191" s="13"/>
    </row>
    <row r="192" customFormat="false" ht="14.25" hidden="false" customHeight="true" outlineLevel="0" collapsed="false">
      <c r="C192" s="12"/>
      <c r="D192" s="12"/>
      <c r="E192" s="13"/>
    </row>
    <row r="193" customFormat="false" ht="14.25" hidden="false" customHeight="true" outlineLevel="0" collapsed="false">
      <c r="C193" s="12"/>
      <c r="D193" s="12"/>
      <c r="E193" s="13"/>
    </row>
    <row r="194" customFormat="false" ht="14.25" hidden="false" customHeight="true" outlineLevel="0" collapsed="false">
      <c r="C194" s="12"/>
      <c r="D194" s="12"/>
      <c r="E194" s="13"/>
    </row>
    <row r="195" customFormat="false" ht="14.25" hidden="false" customHeight="true" outlineLevel="0" collapsed="false">
      <c r="C195" s="12"/>
      <c r="D195" s="12"/>
      <c r="E195" s="13"/>
    </row>
    <row r="196" customFormat="false" ht="14.25" hidden="false" customHeight="true" outlineLevel="0" collapsed="false">
      <c r="C196" s="12"/>
      <c r="D196" s="12"/>
      <c r="E196" s="13"/>
    </row>
    <row r="197" customFormat="false" ht="14.25" hidden="false" customHeight="true" outlineLevel="0" collapsed="false">
      <c r="C197" s="12"/>
      <c r="D197" s="12"/>
      <c r="E197" s="13"/>
    </row>
    <row r="198" customFormat="false" ht="14.25" hidden="false" customHeight="true" outlineLevel="0" collapsed="false">
      <c r="C198" s="12"/>
      <c r="D198" s="12"/>
      <c r="E198" s="13"/>
    </row>
    <row r="199" customFormat="false" ht="14.25" hidden="false" customHeight="true" outlineLevel="0" collapsed="false">
      <c r="C199" s="12"/>
      <c r="D199" s="12"/>
      <c r="E199" s="13"/>
    </row>
    <row r="200" customFormat="false" ht="14.25" hidden="false" customHeight="true" outlineLevel="0" collapsed="false">
      <c r="C200" s="12"/>
      <c r="D200" s="12"/>
      <c r="E200" s="13"/>
    </row>
    <row r="201" customFormat="false" ht="14.25" hidden="false" customHeight="true" outlineLevel="0" collapsed="false">
      <c r="C201" s="12"/>
      <c r="D201" s="12"/>
      <c r="E201" s="13"/>
    </row>
    <row r="202" customFormat="false" ht="14.25" hidden="false" customHeight="true" outlineLevel="0" collapsed="false">
      <c r="C202" s="12"/>
      <c r="D202" s="12"/>
      <c r="E202" s="13"/>
    </row>
    <row r="203" customFormat="false" ht="14.25" hidden="false" customHeight="true" outlineLevel="0" collapsed="false">
      <c r="C203" s="12"/>
      <c r="D203" s="12"/>
      <c r="E203" s="13"/>
    </row>
    <row r="204" customFormat="false" ht="14.25" hidden="false" customHeight="true" outlineLevel="0" collapsed="false">
      <c r="C204" s="12"/>
      <c r="D204" s="12"/>
      <c r="E204" s="13"/>
    </row>
    <row r="205" customFormat="false" ht="14.25" hidden="false" customHeight="true" outlineLevel="0" collapsed="false">
      <c r="C205" s="12"/>
      <c r="D205" s="12"/>
      <c r="E205" s="13"/>
    </row>
    <row r="206" customFormat="false" ht="14.25" hidden="false" customHeight="true" outlineLevel="0" collapsed="false">
      <c r="C206" s="12"/>
      <c r="D206" s="12"/>
      <c r="E206" s="13"/>
    </row>
    <row r="207" customFormat="false" ht="14.25" hidden="false" customHeight="true" outlineLevel="0" collapsed="false">
      <c r="C207" s="12"/>
      <c r="D207" s="12"/>
      <c r="E207" s="13"/>
    </row>
    <row r="208" customFormat="false" ht="14.25" hidden="false" customHeight="true" outlineLevel="0" collapsed="false">
      <c r="C208" s="12"/>
      <c r="D208" s="12"/>
      <c r="E208" s="13"/>
    </row>
    <row r="209" customFormat="false" ht="14.25" hidden="false" customHeight="true" outlineLevel="0" collapsed="false">
      <c r="C209" s="12"/>
      <c r="D209" s="12"/>
      <c r="E209" s="13"/>
    </row>
    <row r="210" customFormat="false" ht="14.25" hidden="false" customHeight="true" outlineLevel="0" collapsed="false">
      <c r="C210" s="12"/>
      <c r="D210" s="12"/>
      <c r="E210" s="13"/>
    </row>
    <row r="211" customFormat="false" ht="14.25" hidden="false" customHeight="true" outlineLevel="0" collapsed="false">
      <c r="C211" s="12"/>
      <c r="D211" s="12"/>
      <c r="E211" s="13"/>
    </row>
    <row r="212" customFormat="false" ht="14.25" hidden="false" customHeight="true" outlineLevel="0" collapsed="false">
      <c r="C212" s="12"/>
      <c r="D212" s="12"/>
      <c r="E212" s="13"/>
    </row>
    <row r="213" customFormat="false" ht="14.25" hidden="false" customHeight="true" outlineLevel="0" collapsed="false">
      <c r="C213" s="12"/>
      <c r="D213" s="12"/>
      <c r="E213" s="13"/>
    </row>
    <row r="214" customFormat="false" ht="14.25" hidden="false" customHeight="true" outlineLevel="0" collapsed="false">
      <c r="C214" s="12"/>
      <c r="D214" s="12"/>
      <c r="E214" s="13"/>
    </row>
    <row r="215" customFormat="false" ht="14.25" hidden="false" customHeight="true" outlineLevel="0" collapsed="false">
      <c r="C215" s="12"/>
      <c r="D215" s="12"/>
      <c r="E215" s="13"/>
    </row>
    <row r="216" customFormat="false" ht="14.25" hidden="false" customHeight="true" outlineLevel="0" collapsed="false">
      <c r="C216" s="12"/>
      <c r="D216" s="12"/>
      <c r="E216" s="13"/>
    </row>
    <row r="217" customFormat="false" ht="14.25" hidden="false" customHeight="true" outlineLevel="0" collapsed="false">
      <c r="C217" s="12"/>
      <c r="D217" s="12"/>
      <c r="E217" s="13"/>
    </row>
    <row r="218" customFormat="false" ht="14.25" hidden="false" customHeight="true" outlineLevel="0" collapsed="false">
      <c r="C218" s="12"/>
      <c r="D218" s="12"/>
      <c r="E218" s="13"/>
    </row>
    <row r="219" customFormat="false" ht="14.25" hidden="false" customHeight="true" outlineLevel="0" collapsed="false">
      <c r="C219" s="12"/>
      <c r="D219" s="12"/>
      <c r="E219" s="13"/>
    </row>
    <row r="220" customFormat="false" ht="14.25" hidden="false" customHeight="true" outlineLevel="0" collapsed="false">
      <c r="C220" s="12"/>
      <c r="D220" s="12"/>
      <c r="E220" s="13"/>
    </row>
    <row r="221" customFormat="false" ht="14.25" hidden="false" customHeight="true" outlineLevel="0" collapsed="false">
      <c r="C221" s="12"/>
      <c r="D221" s="12"/>
      <c r="E221" s="13"/>
    </row>
    <row r="222" customFormat="false" ht="14.25" hidden="false" customHeight="true" outlineLevel="0" collapsed="false">
      <c r="C222" s="12"/>
      <c r="D222" s="12"/>
      <c r="E222" s="13"/>
    </row>
    <row r="223" customFormat="false" ht="14.25" hidden="false" customHeight="true" outlineLevel="0" collapsed="false">
      <c r="C223" s="12"/>
      <c r="D223" s="12"/>
      <c r="E223" s="13"/>
    </row>
    <row r="224" customFormat="false" ht="14.25" hidden="false" customHeight="true" outlineLevel="0" collapsed="false">
      <c r="C224" s="12"/>
      <c r="D224" s="12"/>
      <c r="E224" s="13"/>
    </row>
    <row r="225" customFormat="false" ht="14.25" hidden="false" customHeight="true" outlineLevel="0" collapsed="false">
      <c r="C225" s="12"/>
      <c r="D225" s="12"/>
      <c r="E225" s="13"/>
    </row>
    <row r="226" customFormat="false" ht="14.25" hidden="false" customHeight="true" outlineLevel="0" collapsed="false">
      <c r="C226" s="12"/>
      <c r="D226" s="12"/>
      <c r="E226" s="13"/>
    </row>
    <row r="227" customFormat="false" ht="14.25" hidden="false" customHeight="true" outlineLevel="0" collapsed="false">
      <c r="C227" s="12"/>
      <c r="D227" s="12"/>
      <c r="E227" s="13"/>
    </row>
    <row r="228" customFormat="false" ht="14.25" hidden="false" customHeight="true" outlineLevel="0" collapsed="false">
      <c r="C228" s="12"/>
      <c r="D228" s="12"/>
      <c r="E228" s="13"/>
    </row>
    <row r="229" customFormat="false" ht="14.25" hidden="false" customHeight="true" outlineLevel="0" collapsed="false">
      <c r="C229" s="12"/>
      <c r="D229" s="12"/>
      <c r="E229" s="13"/>
    </row>
    <row r="230" customFormat="false" ht="14.25" hidden="false" customHeight="true" outlineLevel="0" collapsed="false">
      <c r="C230" s="12"/>
      <c r="D230" s="12"/>
      <c r="E230" s="13"/>
    </row>
    <row r="231" customFormat="false" ht="14.25" hidden="false" customHeight="true" outlineLevel="0" collapsed="false">
      <c r="C231" s="12"/>
      <c r="D231" s="12"/>
      <c r="E231" s="13"/>
    </row>
    <row r="232" customFormat="false" ht="14.25" hidden="false" customHeight="true" outlineLevel="0" collapsed="false">
      <c r="C232" s="12"/>
      <c r="D232" s="12"/>
      <c r="E232" s="13"/>
    </row>
    <row r="233" customFormat="false" ht="14.25" hidden="false" customHeight="true" outlineLevel="0" collapsed="false">
      <c r="C233" s="12"/>
      <c r="D233" s="12"/>
      <c r="E233" s="13"/>
    </row>
    <row r="234" customFormat="false" ht="14.25" hidden="false" customHeight="true" outlineLevel="0" collapsed="false">
      <c r="C234" s="12"/>
      <c r="D234" s="12"/>
      <c r="E234" s="13"/>
    </row>
    <row r="235" customFormat="false" ht="14.25" hidden="false" customHeight="true" outlineLevel="0" collapsed="false">
      <c r="C235" s="12"/>
      <c r="D235" s="12"/>
      <c r="E235" s="13"/>
    </row>
    <row r="236" customFormat="false" ht="14.25" hidden="false" customHeight="true" outlineLevel="0" collapsed="false">
      <c r="C236" s="12"/>
      <c r="D236" s="12"/>
      <c r="E236" s="13"/>
    </row>
    <row r="237" customFormat="false" ht="14.25" hidden="false" customHeight="true" outlineLevel="0" collapsed="false">
      <c r="C237" s="12"/>
      <c r="D237" s="12"/>
      <c r="E237" s="13"/>
    </row>
    <row r="238" customFormat="false" ht="14.25" hidden="false" customHeight="true" outlineLevel="0" collapsed="false">
      <c r="C238" s="12"/>
      <c r="D238" s="12"/>
      <c r="E238" s="13"/>
    </row>
    <row r="239" customFormat="false" ht="14.25" hidden="false" customHeight="true" outlineLevel="0" collapsed="false">
      <c r="C239" s="12"/>
      <c r="D239" s="12"/>
      <c r="E239" s="13"/>
    </row>
    <row r="240" customFormat="false" ht="14.25" hidden="false" customHeight="true" outlineLevel="0" collapsed="false">
      <c r="C240" s="12"/>
      <c r="D240" s="12"/>
      <c r="E240" s="13"/>
    </row>
    <row r="241" customFormat="false" ht="14.25" hidden="false" customHeight="true" outlineLevel="0" collapsed="false">
      <c r="C241" s="12"/>
      <c r="D241" s="12"/>
      <c r="E241" s="13"/>
    </row>
    <row r="242" customFormat="false" ht="14.25" hidden="false" customHeight="true" outlineLevel="0" collapsed="false">
      <c r="C242" s="12"/>
      <c r="D242" s="12"/>
      <c r="E242" s="13"/>
    </row>
    <row r="243" customFormat="false" ht="14.25" hidden="false" customHeight="true" outlineLevel="0" collapsed="false">
      <c r="C243" s="12"/>
      <c r="D243" s="12"/>
      <c r="E243" s="13"/>
    </row>
    <row r="244" customFormat="false" ht="14.25" hidden="false" customHeight="true" outlineLevel="0" collapsed="false">
      <c r="C244" s="12"/>
      <c r="D244" s="12"/>
      <c r="E244" s="13"/>
    </row>
    <row r="245" customFormat="false" ht="14.25" hidden="false" customHeight="true" outlineLevel="0" collapsed="false">
      <c r="C245" s="12"/>
      <c r="D245" s="12"/>
      <c r="E245" s="13"/>
    </row>
    <row r="246" customFormat="false" ht="14.25" hidden="false" customHeight="true" outlineLevel="0" collapsed="false">
      <c r="C246" s="12"/>
      <c r="D246" s="12"/>
      <c r="E246" s="13"/>
    </row>
    <row r="247" customFormat="false" ht="14.25" hidden="false" customHeight="true" outlineLevel="0" collapsed="false">
      <c r="C247" s="12"/>
      <c r="D247" s="12"/>
      <c r="E247" s="13"/>
    </row>
    <row r="248" customFormat="false" ht="14.25" hidden="false" customHeight="true" outlineLevel="0" collapsed="false">
      <c r="C248" s="12"/>
      <c r="D248" s="12"/>
      <c r="E248" s="13"/>
    </row>
    <row r="249" customFormat="false" ht="14.25" hidden="false" customHeight="true" outlineLevel="0" collapsed="false">
      <c r="C249" s="12"/>
      <c r="D249" s="12"/>
      <c r="E249" s="13"/>
    </row>
    <row r="250" customFormat="false" ht="14.25" hidden="false" customHeight="true" outlineLevel="0" collapsed="false">
      <c r="C250" s="12"/>
      <c r="D250" s="12"/>
      <c r="E250" s="13"/>
    </row>
    <row r="251" customFormat="false" ht="14.25" hidden="false" customHeight="true" outlineLevel="0" collapsed="false">
      <c r="C251" s="12"/>
      <c r="D251" s="12"/>
      <c r="E251" s="13"/>
    </row>
    <row r="252" customFormat="false" ht="14.25" hidden="false" customHeight="true" outlineLevel="0" collapsed="false">
      <c r="C252" s="12"/>
      <c r="D252" s="12"/>
      <c r="E252" s="13"/>
    </row>
    <row r="253" customFormat="false" ht="14.25" hidden="false" customHeight="true" outlineLevel="0" collapsed="false">
      <c r="C253" s="12"/>
      <c r="D253" s="12"/>
      <c r="E253" s="13"/>
    </row>
    <row r="254" customFormat="false" ht="14.25" hidden="false" customHeight="true" outlineLevel="0" collapsed="false">
      <c r="C254" s="12"/>
      <c r="D254" s="12"/>
      <c r="E254" s="13"/>
    </row>
    <row r="255" customFormat="false" ht="14.25" hidden="false" customHeight="true" outlineLevel="0" collapsed="false">
      <c r="C255" s="12"/>
      <c r="D255" s="12"/>
      <c r="E255" s="13"/>
    </row>
    <row r="256" customFormat="false" ht="14.25" hidden="false" customHeight="true" outlineLevel="0" collapsed="false">
      <c r="C256" s="12"/>
      <c r="D256" s="12"/>
      <c r="E256" s="13"/>
    </row>
    <row r="257" customFormat="false" ht="14.25" hidden="false" customHeight="true" outlineLevel="0" collapsed="false">
      <c r="C257" s="12"/>
      <c r="D257" s="12"/>
      <c r="E257" s="13"/>
    </row>
    <row r="258" customFormat="false" ht="14.25" hidden="false" customHeight="true" outlineLevel="0" collapsed="false">
      <c r="C258" s="12"/>
      <c r="D258" s="12"/>
      <c r="E258" s="13"/>
    </row>
    <row r="259" customFormat="false" ht="14.25" hidden="false" customHeight="true" outlineLevel="0" collapsed="false">
      <c r="C259" s="12"/>
      <c r="D259" s="12"/>
      <c r="E259" s="13"/>
    </row>
    <row r="260" customFormat="false" ht="14.25" hidden="false" customHeight="true" outlineLevel="0" collapsed="false">
      <c r="C260" s="12"/>
      <c r="D260" s="12"/>
      <c r="E260" s="13"/>
    </row>
    <row r="261" customFormat="false" ht="14.25" hidden="false" customHeight="true" outlineLevel="0" collapsed="false">
      <c r="C261" s="12"/>
      <c r="D261" s="12"/>
      <c r="E261" s="13"/>
    </row>
    <row r="262" customFormat="false" ht="14.25" hidden="false" customHeight="true" outlineLevel="0" collapsed="false">
      <c r="C262" s="12"/>
      <c r="D262" s="12"/>
      <c r="E262" s="13"/>
    </row>
    <row r="263" customFormat="false" ht="14.25" hidden="false" customHeight="true" outlineLevel="0" collapsed="false">
      <c r="C263" s="12"/>
      <c r="D263" s="12"/>
      <c r="E263" s="13"/>
    </row>
    <row r="264" customFormat="false" ht="14.25" hidden="false" customHeight="true" outlineLevel="0" collapsed="false">
      <c r="C264" s="12"/>
      <c r="D264" s="12"/>
      <c r="E264" s="13"/>
    </row>
    <row r="265" customFormat="false" ht="14.25" hidden="false" customHeight="true" outlineLevel="0" collapsed="false">
      <c r="C265" s="12"/>
      <c r="D265" s="12"/>
      <c r="E265" s="13"/>
    </row>
    <row r="266" customFormat="false" ht="14.25" hidden="false" customHeight="true" outlineLevel="0" collapsed="false">
      <c r="C266" s="12"/>
      <c r="D266" s="12"/>
      <c r="E266" s="13"/>
    </row>
    <row r="267" customFormat="false" ht="14.25" hidden="false" customHeight="true" outlineLevel="0" collapsed="false">
      <c r="C267" s="12"/>
      <c r="D267" s="12"/>
      <c r="E267" s="13"/>
    </row>
    <row r="268" customFormat="false" ht="14.25" hidden="false" customHeight="true" outlineLevel="0" collapsed="false">
      <c r="C268" s="12"/>
      <c r="D268" s="12"/>
      <c r="E268" s="13"/>
    </row>
    <row r="269" customFormat="false" ht="14.25" hidden="false" customHeight="true" outlineLevel="0" collapsed="false">
      <c r="C269" s="12"/>
      <c r="D269" s="12"/>
      <c r="E269" s="13"/>
    </row>
    <row r="270" customFormat="false" ht="14.25" hidden="false" customHeight="true" outlineLevel="0" collapsed="false">
      <c r="C270" s="12"/>
      <c r="D270" s="12"/>
      <c r="E270" s="13"/>
    </row>
    <row r="271" customFormat="false" ht="14.25" hidden="false" customHeight="true" outlineLevel="0" collapsed="false">
      <c r="C271" s="12"/>
      <c r="D271" s="12"/>
      <c r="E271" s="13"/>
    </row>
    <row r="272" customFormat="false" ht="14.25" hidden="false" customHeight="true" outlineLevel="0" collapsed="false">
      <c r="C272" s="12"/>
      <c r="D272" s="12"/>
      <c r="E272" s="13"/>
    </row>
    <row r="273" customFormat="false" ht="14.25" hidden="false" customHeight="true" outlineLevel="0" collapsed="false">
      <c r="C273" s="12"/>
      <c r="D273" s="12"/>
      <c r="E273" s="13"/>
    </row>
    <row r="274" customFormat="false" ht="14.25" hidden="false" customHeight="true" outlineLevel="0" collapsed="false">
      <c r="C274" s="12"/>
      <c r="D274" s="12"/>
      <c r="E274" s="13"/>
    </row>
    <row r="275" customFormat="false" ht="14.25" hidden="false" customHeight="true" outlineLevel="0" collapsed="false">
      <c r="C275" s="12"/>
      <c r="D275" s="12"/>
      <c r="E275" s="13"/>
    </row>
    <row r="276" customFormat="false" ht="14.25" hidden="false" customHeight="true" outlineLevel="0" collapsed="false">
      <c r="C276" s="12"/>
      <c r="D276" s="12"/>
      <c r="E276" s="13"/>
    </row>
    <row r="277" customFormat="false" ht="14.25" hidden="false" customHeight="true" outlineLevel="0" collapsed="false">
      <c r="C277" s="12"/>
      <c r="D277" s="12"/>
      <c r="E277" s="13"/>
    </row>
    <row r="278" customFormat="false" ht="14.25" hidden="false" customHeight="true" outlineLevel="0" collapsed="false">
      <c r="C278" s="12"/>
      <c r="D278" s="12"/>
      <c r="E278" s="13"/>
    </row>
    <row r="279" customFormat="false" ht="14.25" hidden="false" customHeight="true" outlineLevel="0" collapsed="false">
      <c r="C279" s="12"/>
      <c r="D279" s="12"/>
      <c r="E279" s="13"/>
    </row>
    <row r="280" customFormat="false" ht="14.25" hidden="false" customHeight="true" outlineLevel="0" collapsed="false">
      <c r="C280" s="12"/>
      <c r="D280" s="12"/>
      <c r="E280" s="13"/>
    </row>
    <row r="281" customFormat="false" ht="14.25" hidden="false" customHeight="true" outlineLevel="0" collapsed="false">
      <c r="C281" s="12"/>
      <c r="D281" s="12"/>
      <c r="E281" s="13"/>
    </row>
    <row r="282" customFormat="false" ht="14.25" hidden="false" customHeight="true" outlineLevel="0" collapsed="false">
      <c r="C282" s="12"/>
      <c r="D282" s="12"/>
      <c r="E282" s="13"/>
    </row>
    <row r="283" customFormat="false" ht="14.25" hidden="false" customHeight="true" outlineLevel="0" collapsed="false">
      <c r="C283" s="12"/>
      <c r="D283" s="12"/>
      <c r="E283" s="13"/>
    </row>
    <row r="284" customFormat="false" ht="14.25" hidden="false" customHeight="true" outlineLevel="0" collapsed="false">
      <c r="C284" s="12"/>
      <c r="D284" s="12"/>
      <c r="E284" s="13"/>
    </row>
    <row r="285" customFormat="false" ht="14.25" hidden="false" customHeight="true" outlineLevel="0" collapsed="false">
      <c r="C285" s="12"/>
      <c r="D285" s="12"/>
      <c r="E285" s="13"/>
    </row>
    <row r="286" customFormat="false" ht="14.25" hidden="false" customHeight="true" outlineLevel="0" collapsed="false">
      <c r="C286" s="12"/>
      <c r="D286" s="12"/>
      <c r="E286" s="13"/>
    </row>
    <row r="287" customFormat="false" ht="14.25" hidden="false" customHeight="true" outlineLevel="0" collapsed="false">
      <c r="C287" s="12"/>
      <c r="D287" s="12"/>
      <c r="E287" s="13"/>
    </row>
    <row r="288" customFormat="false" ht="14.25" hidden="false" customHeight="true" outlineLevel="0" collapsed="false">
      <c r="C288" s="12"/>
      <c r="D288" s="12"/>
      <c r="E288" s="13"/>
    </row>
    <row r="289" customFormat="false" ht="14.25" hidden="false" customHeight="true" outlineLevel="0" collapsed="false">
      <c r="C289" s="12"/>
      <c r="D289" s="12"/>
      <c r="E289" s="13"/>
    </row>
    <row r="290" customFormat="false" ht="14.25" hidden="false" customHeight="true" outlineLevel="0" collapsed="false">
      <c r="C290" s="12"/>
      <c r="D290" s="12"/>
      <c r="E290" s="13"/>
    </row>
    <row r="291" customFormat="false" ht="14.25" hidden="false" customHeight="true" outlineLevel="0" collapsed="false">
      <c r="C291" s="12"/>
      <c r="D291" s="12"/>
      <c r="E291" s="13"/>
    </row>
    <row r="292" customFormat="false" ht="14.25" hidden="false" customHeight="true" outlineLevel="0" collapsed="false">
      <c r="C292" s="12"/>
      <c r="D292" s="12"/>
      <c r="E292" s="13"/>
    </row>
    <row r="293" customFormat="false" ht="14.25" hidden="false" customHeight="true" outlineLevel="0" collapsed="false">
      <c r="C293" s="12"/>
      <c r="D293" s="12"/>
      <c r="E293" s="13"/>
    </row>
    <row r="294" customFormat="false" ht="14.25" hidden="false" customHeight="true" outlineLevel="0" collapsed="false">
      <c r="C294" s="12"/>
      <c r="D294" s="12"/>
      <c r="E294" s="13"/>
    </row>
    <row r="295" customFormat="false" ht="14.25" hidden="false" customHeight="true" outlineLevel="0" collapsed="false">
      <c r="C295" s="12"/>
      <c r="D295" s="12"/>
      <c r="E295" s="13"/>
    </row>
    <row r="296" customFormat="false" ht="14.25" hidden="false" customHeight="true" outlineLevel="0" collapsed="false">
      <c r="C296" s="12"/>
      <c r="D296" s="12"/>
      <c r="E296" s="13"/>
    </row>
    <row r="297" customFormat="false" ht="14.25" hidden="false" customHeight="true" outlineLevel="0" collapsed="false">
      <c r="C297" s="12"/>
      <c r="D297" s="12"/>
      <c r="E297" s="13"/>
    </row>
    <row r="298" customFormat="false" ht="14.25" hidden="false" customHeight="true" outlineLevel="0" collapsed="false">
      <c r="C298" s="12"/>
      <c r="D298" s="12"/>
      <c r="E298" s="13"/>
    </row>
    <row r="299" customFormat="false" ht="14.25" hidden="false" customHeight="true" outlineLevel="0" collapsed="false">
      <c r="C299" s="12"/>
      <c r="D299" s="12"/>
      <c r="E299" s="13"/>
    </row>
    <row r="300" customFormat="false" ht="14.25" hidden="false" customHeight="true" outlineLevel="0" collapsed="false">
      <c r="C300" s="12"/>
      <c r="D300" s="12"/>
      <c r="E300" s="13"/>
    </row>
    <row r="301" customFormat="false" ht="14.25" hidden="false" customHeight="true" outlineLevel="0" collapsed="false">
      <c r="C301" s="12"/>
      <c r="D301" s="12"/>
      <c r="E301" s="13"/>
    </row>
  </sheetData>
  <mergeCells count="2">
    <mergeCell ref="A1:J1"/>
    <mergeCell ref="A2:J2"/>
  </mergeCells>
  <conditionalFormatting sqref="C15:E15">
    <cfRule type="expression" priority="2" aboveAverage="0" equalAverage="0" bottom="0" percent="0" rank="0" text="" dxfId="8">
      <formula>ISBLANK(C15)</formula>
    </cfRule>
  </conditionalFormatting>
  <conditionalFormatting sqref="C4:E10 C11 C12:E14 C16:E101 E11">
    <cfRule type="expression" priority="3" aboveAverage="0" equalAverage="0" bottom="0" percent="0" rank="0" text="" dxfId="8">
      <formula>ISBLANK(C4)</formula>
    </cfRule>
  </conditionalFormatting>
  <dataValidations count="1">
    <dataValidation allowBlank="false" errorStyle="stop" operator="between" showDropDown="false" showErrorMessage="false" showInputMessage="false" sqref="I4:I301" type="list">
      <formula1>"faible,moyen,élevé"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53.03"/>
    <col collapsed="false" customWidth="true" hidden="false" outlineLevel="0" max="2" min="2" style="1" width="21"/>
    <col collapsed="false" customWidth="true" hidden="false" outlineLevel="0" max="3" min="3" style="1" width="6.06"/>
    <col collapsed="false" customWidth="true" hidden="false" outlineLevel="0" max="4" min="4" style="1" width="19.11"/>
    <col collapsed="false" customWidth="true" hidden="false" outlineLevel="0" max="5" min="5" style="1" width="23.96"/>
    <col collapsed="false" customWidth="true" hidden="false" outlineLevel="0" max="6" min="6" style="1" width="12.65"/>
    <col collapsed="false" customWidth="true" hidden="false" outlineLevel="0" max="7" min="7" style="1" width="11.84"/>
    <col collapsed="false" customWidth="true" hidden="false" outlineLevel="0" max="8" min="8" style="1" width="86.67"/>
  </cols>
  <sheetData>
    <row r="1" customFormat="false" ht="27.75" hidden="false" customHeight="true" outlineLevel="0" collapsed="false">
      <c r="A1" s="2" t="s">
        <v>179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180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 t="s">
        <v>181</v>
      </c>
      <c r="C3" s="4" t="s">
        <v>182</v>
      </c>
      <c r="D3" s="4" t="s">
        <v>183</v>
      </c>
      <c r="E3" s="4" t="s">
        <v>184</v>
      </c>
      <c r="F3" s="4" t="s">
        <v>139</v>
      </c>
      <c r="G3" s="4" t="s">
        <v>140</v>
      </c>
      <c r="H3" s="4" t="s">
        <v>13</v>
      </c>
    </row>
    <row r="4" customFormat="false" ht="33.75" hidden="false" customHeight="true" outlineLevel="0" collapsed="false">
      <c r="A4" s="5" t="s">
        <v>30</v>
      </c>
      <c r="B4" s="9" t="n">
        <v>12</v>
      </c>
      <c r="C4" s="9" t="n">
        <v>27.431</v>
      </c>
      <c r="D4" s="9" t="n">
        <v>1540</v>
      </c>
      <c r="E4" s="9" t="n">
        <v>0.0198123376623377</v>
      </c>
      <c r="F4" s="9" t="s">
        <v>185</v>
      </c>
      <c r="G4" s="14" t="s">
        <v>186</v>
      </c>
      <c r="H4" s="5" t="s">
        <v>187</v>
      </c>
    </row>
    <row r="5" customFormat="false" ht="33.75" hidden="false" customHeight="true" outlineLevel="0" collapsed="false">
      <c r="A5" s="5" t="s">
        <v>26</v>
      </c>
      <c r="B5" s="9" t="n">
        <v>3.6</v>
      </c>
      <c r="C5" s="9" t="n">
        <v>24.961</v>
      </c>
      <c r="D5" s="9" t="n">
        <v>1250</v>
      </c>
      <c r="E5" s="9" t="n">
        <v>0.0399688</v>
      </c>
      <c r="F5" s="9" t="s">
        <v>185</v>
      </c>
      <c r="G5" s="14" t="s">
        <v>186</v>
      </c>
      <c r="H5" s="5" t="s">
        <v>188</v>
      </c>
    </row>
    <row r="6" customFormat="false" ht="14.25" hidden="false" customHeight="true" outlineLevel="0" collapsed="false">
      <c r="B6" s="12"/>
      <c r="C6" s="12"/>
      <c r="D6" s="12"/>
      <c r="E6" s="12"/>
      <c r="F6" s="12"/>
      <c r="G6" s="12"/>
    </row>
    <row r="7" customFormat="false" ht="14.25" hidden="false" customHeight="true" outlineLevel="0" collapsed="false">
      <c r="B7" s="12"/>
      <c r="C7" s="12"/>
      <c r="D7" s="12"/>
      <c r="E7" s="12"/>
      <c r="F7" s="12"/>
      <c r="G7" s="12"/>
    </row>
    <row r="8" customFormat="false" ht="14.25" hidden="false" customHeight="true" outlineLevel="0" collapsed="false">
      <c r="B8" s="12"/>
      <c r="C8" s="12"/>
      <c r="D8" s="12"/>
      <c r="E8" s="12"/>
      <c r="F8" s="12"/>
      <c r="G8" s="12"/>
    </row>
    <row r="9" customFormat="false" ht="14.25" hidden="false" customHeight="true" outlineLevel="0" collapsed="false">
      <c r="B9" s="12"/>
      <c r="C9" s="12"/>
      <c r="D9" s="12"/>
      <c r="E9" s="12"/>
      <c r="F9" s="12"/>
      <c r="G9" s="12"/>
    </row>
    <row r="10" customFormat="false" ht="14.25" hidden="false" customHeight="true" outlineLevel="0" collapsed="false">
      <c r="B10" s="12"/>
      <c r="C10" s="12"/>
      <c r="D10" s="12"/>
      <c r="E10" s="12"/>
      <c r="F10" s="12"/>
      <c r="G10" s="12"/>
    </row>
    <row r="11" customFormat="false" ht="14.25" hidden="false" customHeight="true" outlineLevel="0" collapsed="false">
      <c r="B11" s="12"/>
      <c r="C11" s="12"/>
      <c r="D11" s="12"/>
      <c r="E11" s="12"/>
      <c r="F11" s="12"/>
      <c r="G11" s="12"/>
    </row>
    <row r="12" customFormat="false" ht="14.25" hidden="false" customHeight="true" outlineLevel="0" collapsed="false">
      <c r="B12" s="12"/>
      <c r="C12" s="12"/>
      <c r="D12" s="12"/>
      <c r="E12" s="12"/>
      <c r="F12" s="12"/>
      <c r="G12" s="12"/>
    </row>
    <row r="13" customFormat="false" ht="14.25" hidden="false" customHeight="true" outlineLevel="0" collapsed="false">
      <c r="B13" s="12"/>
      <c r="C13" s="12"/>
      <c r="D13" s="12"/>
      <c r="E13" s="12"/>
      <c r="F13" s="12"/>
      <c r="G13" s="12"/>
    </row>
    <row r="14" customFormat="false" ht="14.25" hidden="false" customHeight="true" outlineLevel="0" collapsed="false">
      <c r="B14" s="12"/>
      <c r="C14" s="12"/>
      <c r="D14" s="12"/>
      <c r="E14" s="12"/>
      <c r="F14" s="12"/>
      <c r="G14" s="12"/>
    </row>
    <row r="15" customFormat="false" ht="14.25" hidden="false" customHeight="true" outlineLevel="0" collapsed="false">
      <c r="B15" s="12"/>
      <c r="C15" s="12"/>
      <c r="D15" s="12"/>
      <c r="E15" s="12"/>
      <c r="F15" s="12"/>
      <c r="G15" s="12"/>
    </row>
    <row r="16" customFormat="false" ht="14.25" hidden="false" customHeight="true" outlineLevel="0" collapsed="false">
      <c r="B16" s="12"/>
      <c r="C16" s="12"/>
      <c r="D16" s="12"/>
      <c r="E16" s="12"/>
      <c r="F16" s="12"/>
      <c r="G16" s="12"/>
    </row>
    <row r="17" customFormat="false" ht="14.25" hidden="false" customHeight="true" outlineLevel="0" collapsed="false">
      <c r="B17" s="12"/>
      <c r="C17" s="12"/>
      <c r="D17" s="12"/>
      <c r="E17" s="12"/>
      <c r="F17" s="12"/>
      <c r="G17" s="12"/>
    </row>
    <row r="18" customFormat="false" ht="14.25" hidden="false" customHeight="true" outlineLevel="0" collapsed="false">
      <c r="B18" s="12"/>
      <c r="C18" s="12"/>
      <c r="D18" s="12"/>
      <c r="E18" s="12"/>
      <c r="F18" s="12"/>
      <c r="G18" s="12"/>
    </row>
    <row r="19" customFormat="false" ht="14.25" hidden="false" customHeight="true" outlineLevel="0" collapsed="false">
      <c r="B19" s="12"/>
      <c r="C19" s="12"/>
      <c r="D19" s="12"/>
      <c r="E19" s="12"/>
      <c r="F19" s="12"/>
      <c r="G19" s="12"/>
    </row>
    <row r="20" customFormat="false" ht="14.25" hidden="false" customHeight="true" outlineLevel="0" collapsed="false">
      <c r="B20" s="12"/>
      <c r="C20" s="12"/>
      <c r="D20" s="12"/>
      <c r="E20" s="12"/>
      <c r="F20" s="12"/>
      <c r="G20" s="12"/>
    </row>
    <row r="21" customFormat="false" ht="14.25" hidden="false" customHeight="true" outlineLevel="0" collapsed="false">
      <c r="B21" s="12"/>
      <c r="C21" s="12"/>
      <c r="D21" s="12"/>
      <c r="E21" s="12"/>
      <c r="F21" s="12"/>
      <c r="G21" s="12"/>
    </row>
    <row r="22" customFormat="false" ht="14.25" hidden="false" customHeight="true" outlineLevel="0" collapsed="false">
      <c r="B22" s="12"/>
      <c r="C22" s="12"/>
      <c r="D22" s="12"/>
      <c r="E22" s="12"/>
      <c r="F22" s="12"/>
      <c r="G22" s="12"/>
    </row>
    <row r="23" customFormat="false" ht="14.25" hidden="false" customHeight="true" outlineLevel="0" collapsed="false">
      <c r="B23" s="12"/>
      <c r="C23" s="12"/>
      <c r="D23" s="12"/>
      <c r="E23" s="12"/>
      <c r="F23" s="12"/>
      <c r="G23" s="12"/>
    </row>
    <row r="24" customFormat="false" ht="14.25" hidden="false" customHeight="true" outlineLevel="0" collapsed="false">
      <c r="B24" s="12"/>
      <c r="C24" s="12"/>
      <c r="D24" s="12"/>
      <c r="E24" s="12"/>
      <c r="F24" s="12"/>
      <c r="G24" s="12"/>
    </row>
    <row r="25" customFormat="false" ht="14.25" hidden="false" customHeight="true" outlineLevel="0" collapsed="false">
      <c r="B25" s="12"/>
      <c r="C25" s="12"/>
      <c r="D25" s="12"/>
      <c r="E25" s="12"/>
      <c r="F25" s="12"/>
      <c r="G25" s="12"/>
    </row>
    <row r="26" customFormat="false" ht="14.25" hidden="false" customHeight="true" outlineLevel="0" collapsed="false">
      <c r="B26" s="12"/>
      <c r="C26" s="12"/>
      <c r="D26" s="12"/>
      <c r="E26" s="12"/>
      <c r="F26" s="12"/>
      <c r="G26" s="12"/>
    </row>
    <row r="27" customFormat="false" ht="14.25" hidden="false" customHeight="true" outlineLevel="0" collapsed="false">
      <c r="B27" s="12"/>
      <c r="C27" s="12"/>
      <c r="D27" s="12"/>
      <c r="E27" s="12"/>
      <c r="F27" s="12"/>
      <c r="G27" s="12"/>
    </row>
    <row r="28" customFormat="false" ht="14.25" hidden="false" customHeight="true" outlineLevel="0" collapsed="false">
      <c r="B28" s="12"/>
      <c r="C28" s="12"/>
      <c r="D28" s="12"/>
      <c r="E28" s="12"/>
      <c r="F28" s="12"/>
      <c r="G28" s="12"/>
    </row>
    <row r="29" customFormat="false" ht="14.25" hidden="false" customHeight="true" outlineLevel="0" collapsed="false">
      <c r="B29" s="12"/>
      <c r="C29" s="12"/>
      <c r="D29" s="12"/>
      <c r="E29" s="12"/>
      <c r="F29" s="12"/>
      <c r="G29" s="12"/>
    </row>
    <row r="30" customFormat="false" ht="14.25" hidden="false" customHeight="true" outlineLevel="0" collapsed="false">
      <c r="B30" s="12"/>
      <c r="C30" s="12"/>
      <c r="D30" s="12"/>
      <c r="E30" s="12"/>
      <c r="F30" s="12"/>
      <c r="G30" s="12"/>
    </row>
    <row r="31" customFormat="false" ht="14.25" hidden="false" customHeight="true" outlineLevel="0" collapsed="false">
      <c r="B31" s="12"/>
      <c r="C31" s="12"/>
      <c r="D31" s="12"/>
      <c r="E31" s="12"/>
      <c r="F31" s="12"/>
      <c r="G31" s="12"/>
    </row>
    <row r="32" customFormat="false" ht="14.25" hidden="false" customHeight="true" outlineLevel="0" collapsed="false">
      <c r="B32" s="12"/>
      <c r="C32" s="12"/>
      <c r="D32" s="12"/>
      <c r="E32" s="12"/>
      <c r="F32" s="12"/>
      <c r="G32" s="12"/>
    </row>
    <row r="33" customFormat="false" ht="14.25" hidden="false" customHeight="true" outlineLevel="0" collapsed="false">
      <c r="B33" s="12"/>
      <c r="C33" s="12"/>
      <c r="D33" s="12"/>
      <c r="E33" s="12"/>
      <c r="F33" s="12"/>
      <c r="G33" s="12"/>
    </row>
    <row r="34" customFormat="false" ht="14.25" hidden="false" customHeight="true" outlineLevel="0" collapsed="false">
      <c r="B34" s="12"/>
      <c r="C34" s="12"/>
      <c r="D34" s="12"/>
      <c r="E34" s="12"/>
      <c r="F34" s="12"/>
      <c r="G34" s="12"/>
    </row>
    <row r="35" customFormat="false" ht="14.25" hidden="false" customHeight="true" outlineLevel="0" collapsed="false">
      <c r="B35" s="12"/>
      <c r="C35" s="12"/>
      <c r="D35" s="12"/>
      <c r="E35" s="12"/>
      <c r="F35" s="12"/>
      <c r="G35" s="12"/>
    </row>
    <row r="36" customFormat="false" ht="14.25" hidden="false" customHeight="true" outlineLevel="0" collapsed="false">
      <c r="B36" s="12"/>
      <c r="C36" s="12"/>
      <c r="D36" s="12"/>
      <c r="E36" s="12"/>
      <c r="F36" s="12"/>
      <c r="G36" s="12"/>
    </row>
    <row r="37" customFormat="false" ht="14.25" hidden="false" customHeight="true" outlineLevel="0" collapsed="false">
      <c r="B37" s="12"/>
      <c r="C37" s="12"/>
      <c r="D37" s="12"/>
      <c r="E37" s="12"/>
      <c r="F37" s="12"/>
      <c r="G37" s="12"/>
    </row>
    <row r="38" customFormat="false" ht="14.25" hidden="false" customHeight="true" outlineLevel="0" collapsed="false">
      <c r="B38" s="12"/>
      <c r="C38" s="12"/>
      <c r="D38" s="12"/>
      <c r="E38" s="12"/>
      <c r="F38" s="12"/>
      <c r="G38" s="12"/>
    </row>
    <row r="39" customFormat="false" ht="14.25" hidden="false" customHeight="true" outlineLevel="0" collapsed="false">
      <c r="B39" s="12"/>
      <c r="C39" s="12"/>
      <c r="D39" s="12"/>
      <c r="E39" s="12"/>
      <c r="F39" s="12"/>
      <c r="G39" s="12"/>
    </row>
    <row r="40" customFormat="false" ht="14.25" hidden="false" customHeight="true" outlineLevel="0" collapsed="false">
      <c r="B40" s="12"/>
      <c r="C40" s="12"/>
      <c r="D40" s="12"/>
      <c r="E40" s="12"/>
      <c r="F40" s="12"/>
      <c r="G40" s="12"/>
    </row>
    <row r="41" customFormat="false" ht="14.25" hidden="false" customHeight="true" outlineLevel="0" collapsed="false">
      <c r="B41" s="12"/>
      <c r="C41" s="12"/>
      <c r="D41" s="12"/>
      <c r="E41" s="12"/>
      <c r="F41" s="12"/>
      <c r="G41" s="12"/>
    </row>
    <row r="42" customFormat="false" ht="14.25" hidden="false" customHeight="true" outlineLevel="0" collapsed="false">
      <c r="B42" s="12"/>
      <c r="C42" s="12"/>
      <c r="D42" s="12"/>
      <c r="E42" s="12"/>
      <c r="F42" s="12"/>
      <c r="G42" s="12"/>
    </row>
    <row r="43" customFormat="false" ht="14.25" hidden="false" customHeight="true" outlineLevel="0" collapsed="false">
      <c r="B43" s="12"/>
      <c r="C43" s="12"/>
      <c r="D43" s="12"/>
      <c r="E43" s="12"/>
      <c r="F43" s="12"/>
      <c r="G43" s="12"/>
    </row>
    <row r="44" customFormat="false" ht="14.25" hidden="false" customHeight="true" outlineLevel="0" collapsed="false">
      <c r="B44" s="12"/>
      <c r="C44" s="12"/>
      <c r="D44" s="12"/>
      <c r="E44" s="12"/>
      <c r="F44" s="12"/>
      <c r="G44" s="12"/>
    </row>
    <row r="45" customFormat="false" ht="14.25" hidden="false" customHeight="true" outlineLevel="0" collapsed="false">
      <c r="B45" s="12"/>
      <c r="C45" s="12"/>
      <c r="D45" s="12"/>
      <c r="E45" s="12"/>
      <c r="F45" s="12"/>
      <c r="G45" s="12"/>
    </row>
    <row r="46" customFormat="false" ht="14.25" hidden="false" customHeight="true" outlineLevel="0" collapsed="false">
      <c r="B46" s="12"/>
      <c r="C46" s="12"/>
      <c r="D46" s="12"/>
      <c r="E46" s="12"/>
      <c r="F46" s="12"/>
      <c r="G46" s="12"/>
    </row>
    <row r="47" customFormat="false" ht="14.25" hidden="false" customHeight="true" outlineLevel="0" collapsed="false">
      <c r="B47" s="12"/>
      <c r="C47" s="12"/>
      <c r="D47" s="12"/>
      <c r="E47" s="12"/>
      <c r="F47" s="12"/>
      <c r="G47" s="12"/>
    </row>
    <row r="48" customFormat="false" ht="14.25" hidden="false" customHeight="true" outlineLevel="0" collapsed="false">
      <c r="B48" s="12"/>
      <c r="C48" s="12"/>
      <c r="D48" s="12"/>
      <c r="E48" s="12"/>
      <c r="F48" s="12"/>
      <c r="G48" s="12"/>
    </row>
    <row r="49" customFormat="false" ht="14.25" hidden="false" customHeight="true" outlineLevel="0" collapsed="false">
      <c r="B49" s="12"/>
      <c r="C49" s="12"/>
      <c r="D49" s="12"/>
      <c r="E49" s="12"/>
      <c r="F49" s="12"/>
      <c r="G49" s="12"/>
    </row>
    <row r="50" customFormat="false" ht="14.25" hidden="false" customHeight="true" outlineLevel="0" collapsed="false">
      <c r="B50" s="12"/>
      <c r="C50" s="12"/>
      <c r="D50" s="12"/>
      <c r="E50" s="12"/>
      <c r="F50" s="12"/>
      <c r="G50" s="12"/>
    </row>
    <row r="51" customFormat="false" ht="14.25" hidden="false" customHeight="true" outlineLevel="0" collapsed="false">
      <c r="B51" s="12"/>
      <c r="C51" s="12"/>
      <c r="D51" s="12"/>
      <c r="E51" s="12"/>
      <c r="F51" s="12"/>
      <c r="G51" s="12"/>
    </row>
    <row r="52" customFormat="false" ht="14.25" hidden="false" customHeight="true" outlineLevel="0" collapsed="false">
      <c r="B52" s="12"/>
      <c r="C52" s="12"/>
      <c r="D52" s="12"/>
      <c r="E52" s="12"/>
      <c r="F52" s="12"/>
      <c r="G52" s="12"/>
    </row>
    <row r="53" customFormat="false" ht="14.25" hidden="false" customHeight="true" outlineLevel="0" collapsed="false">
      <c r="B53" s="12"/>
      <c r="C53" s="12"/>
      <c r="D53" s="12"/>
      <c r="E53" s="12"/>
      <c r="F53" s="12"/>
      <c r="G53" s="12"/>
    </row>
    <row r="54" customFormat="false" ht="14.25" hidden="false" customHeight="true" outlineLevel="0" collapsed="false">
      <c r="B54" s="12"/>
      <c r="C54" s="12"/>
      <c r="D54" s="12"/>
      <c r="E54" s="12"/>
      <c r="F54" s="12"/>
      <c r="G54" s="12"/>
    </row>
    <row r="55" customFormat="false" ht="14.25" hidden="false" customHeight="true" outlineLevel="0" collapsed="false">
      <c r="B55" s="12"/>
      <c r="C55" s="12"/>
      <c r="D55" s="12"/>
      <c r="E55" s="12"/>
      <c r="F55" s="12"/>
      <c r="G55" s="12"/>
    </row>
    <row r="56" customFormat="false" ht="14.25" hidden="false" customHeight="true" outlineLevel="0" collapsed="false">
      <c r="B56" s="12"/>
      <c r="C56" s="12"/>
      <c r="D56" s="12"/>
      <c r="E56" s="12"/>
      <c r="F56" s="12"/>
      <c r="G56" s="12"/>
    </row>
    <row r="57" customFormat="false" ht="14.25" hidden="false" customHeight="true" outlineLevel="0" collapsed="false">
      <c r="B57" s="12"/>
      <c r="C57" s="12"/>
      <c r="D57" s="12"/>
      <c r="E57" s="12"/>
      <c r="F57" s="12"/>
      <c r="G57" s="12"/>
    </row>
    <row r="58" customFormat="false" ht="14.25" hidden="false" customHeight="true" outlineLevel="0" collapsed="false">
      <c r="B58" s="12"/>
      <c r="C58" s="12"/>
      <c r="D58" s="12"/>
      <c r="E58" s="12"/>
      <c r="F58" s="12"/>
      <c r="G58" s="12"/>
    </row>
    <row r="59" customFormat="false" ht="14.25" hidden="false" customHeight="true" outlineLevel="0" collapsed="false">
      <c r="B59" s="12"/>
      <c r="C59" s="12"/>
      <c r="D59" s="12"/>
      <c r="E59" s="12"/>
      <c r="F59" s="12"/>
      <c r="G59" s="12"/>
    </row>
    <row r="60" customFormat="false" ht="14.25" hidden="false" customHeight="true" outlineLevel="0" collapsed="false">
      <c r="B60" s="12"/>
      <c r="C60" s="12"/>
      <c r="D60" s="12"/>
      <c r="E60" s="12"/>
      <c r="F60" s="12"/>
      <c r="G60" s="12"/>
    </row>
    <row r="61" customFormat="false" ht="14.25" hidden="false" customHeight="true" outlineLevel="0" collapsed="false">
      <c r="B61" s="12"/>
      <c r="C61" s="12"/>
      <c r="D61" s="12"/>
      <c r="E61" s="12"/>
      <c r="F61" s="12"/>
      <c r="G61" s="12"/>
    </row>
    <row r="62" customFormat="false" ht="14.25" hidden="false" customHeight="true" outlineLevel="0" collapsed="false">
      <c r="B62" s="12"/>
      <c r="C62" s="12"/>
      <c r="D62" s="12"/>
      <c r="E62" s="12"/>
      <c r="F62" s="12"/>
      <c r="G62" s="12"/>
    </row>
    <row r="63" customFormat="false" ht="14.25" hidden="false" customHeight="true" outlineLevel="0" collapsed="false">
      <c r="B63" s="12"/>
      <c r="C63" s="12"/>
      <c r="D63" s="12"/>
      <c r="E63" s="12"/>
      <c r="F63" s="12"/>
      <c r="G63" s="12"/>
    </row>
    <row r="64" customFormat="false" ht="14.25" hidden="false" customHeight="true" outlineLevel="0" collapsed="false">
      <c r="B64" s="12"/>
      <c r="C64" s="12"/>
      <c r="D64" s="12"/>
      <c r="E64" s="12"/>
      <c r="F64" s="12"/>
      <c r="G64" s="12"/>
    </row>
    <row r="65" customFormat="false" ht="14.25" hidden="false" customHeight="true" outlineLevel="0" collapsed="false">
      <c r="B65" s="12"/>
      <c r="C65" s="12"/>
      <c r="D65" s="12"/>
      <c r="E65" s="12"/>
      <c r="F65" s="12"/>
      <c r="G65" s="12"/>
    </row>
    <row r="66" customFormat="false" ht="14.25" hidden="false" customHeight="true" outlineLevel="0" collapsed="false">
      <c r="B66" s="12"/>
      <c r="C66" s="12"/>
      <c r="D66" s="12"/>
      <c r="E66" s="12"/>
      <c r="F66" s="12"/>
      <c r="G66" s="12"/>
    </row>
    <row r="67" customFormat="false" ht="14.25" hidden="false" customHeight="true" outlineLevel="0" collapsed="false">
      <c r="B67" s="12"/>
      <c r="C67" s="12"/>
      <c r="D67" s="12"/>
      <c r="E67" s="12"/>
      <c r="F67" s="12"/>
      <c r="G67" s="12"/>
    </row>
    <row r="68" customFormat="false" ht="14.25" hidden="false" customHeight="true" outlineLevel="0" collapsed="false">
      <c r="B68" s="12"/>
      <c r="C68" s="12"/>
      <c r="D68" s="12"/>
      <c r="E68" s="12"/>
      <c r="F68" s="12"/>
      <c r="G68" s="12"/>
    </row>
    <row r="69" customFormat="false" ht="14.25" hidden="false" customHeight="true" outlineLevel="0" collapsed="false">
      <c r="B69" s="12"/>
      <c r="C69" s="12"/>
      <c r="D69" s="12"/>
      <c r="E69" s="12"/>
      <c r="F69" s="12"/>
      <c r="G69" s="12"/>
    </row>
    <row r="70" customFormat="false" ht="14.25" hidden="false" customHeight="true" outlineLevel="0" collapsed="false">
      <c r="B70" s="12"/>
      <c r="C70" s="12"/>
      <c r="D70" s="12"/>
      <c r="E70" s="12"/>
      <c r="F70" s="12"/>
      <c r="G70" s="12"/>
    </row>
    <row r="71" customFormat="false" ht="14.25" hidden="false" customHeight="true" outlineLevel="0" collapsed="false">
      <c r="B71" s="12"/>
      <c r="C71" s="12"/>
      <c r="D71" s="12"/>
      <c r="E71" s="12"/>
      <c r="F71" s="12"/>
      <c r="G71" s="12"/>
    </row>
    <row r="72" customFormat="false" ht="14.25" hidden="false" customHeight="true" outlineLevel="0" collapsed="false">
      <c r="B72" s="12"/>
      <c r="C72" s="12"/>
      <c r="D72" s="12"/>
      <c r="E72" s="12"/>
      <c r="F72" s="12"/>
      <c r="G72" s="12"/>
    </row>
    <row r="73" customFormat="false" ht="14.25" hidden="false" customHeight="true" outlineLevel="0" collapsed="false">
      <c r="B73" s="12"/>
      <c r="C73" s="12"/>
      <c r="D73" s="12"/>
      <c r="E73" s="12"/>
      <c r="F73" s="12"/>
      <c r="G73" s="12"/>
    </row>
    <row r="74" customFormat="false" ht="14.25" hidden="false" customHeight="true" outlineLevel="0" collapsed="false">
      <c r="B74" s="12"/>
      <c r="C74" s="12"/>
      <c r="D74" s="12"/>
      <c r="E74" s="12"/>
      <c r="F74" s="12"/>
      <c r="G74" s="12"/>
    </row>
    <row r="75" customFormat="false" ht="14.25" hidden="false" customHeight="true" outlineLevel="0" collapsed="false">
      <c r="B75" s="12"/>
      <c r="C75" s="12"/>
      <c r="D75" s="12"/>
      <c r="E75" s="12"/>
      <c r="F75" s="12"/>
      <c r="G75" s="12"/>
    </row>
    <row r="76" customFormat="false" ht="14.25" hidden="false" customHeight="true" outlineLevel="0" collapsed="false">
      <c r="B76" s="12"/>
      <c r="C76" s="12"/>
      <c r="D76" s="12"/>
      <c r="E76" s="12"/>
      <c r="F76" s="12"/>
      <c r="G76" s="12"/>
    </row>
    <row r="77" customFormat="false" ht="14.25" hidden="false" customHeight="true" outlineLevel="0" collapsed="false">
      <c r="B77" s="12"/>
      <c r="C77" s="12"/>
      <c r="D77" s="12"/>
      <c r="E77" s="12"/>
      <c r="F77" s="12"/>
      <c r="G77" s="12"/>
    </row>
    <row r="78" customFormat="false" ht="14.25" hidden="false" customHeight="true" outlineLevel="0" collapsed="false">
      <c r="B78" s="12"/>
      <c r="C78" s="12"/>
      <c r="D78" s="12"/>
      <c r="E78" s="12"/>
      <c r="F78" s="12"/>
      <c r="G78" s="12"/>
    </row>
    <row r="79" customFormat="false" ht="14.25" hidden="false" customHeight="true" outlineLevel="0" collapsed="false">
      <c r="B79" s="12"/>
      <c r="C79" s="12"/>
      <c r="D79" s="12"/>
      <c r="E79" s="12"/>
      <c r="F79" s="12"/>
      <c r="G79" s="12"/>
    </row>
    <row r="80" customFormat="false" ht="14.25" hidden="false" customHeight="true" outlineLevel="0" collapsed="false">
      <c r="B80" s="12"/>
      <c r="C80" s="12"/>
      <c r="D80" s="12"/>
      <c r="E80" s="12"/>
      <c r="F80" s="12"/>
      <c r="G80" s="12"/>
    </row>
    <row r="81" customFormat="false" ht="14.25" hidden="false" customHeight="true" outlineLevel="0" collapsed="false">
      <c r="B81" s="12"/>
      <c r="C81" s="12"/>
      <c r="D81" s="12"/>
      <c r="E81" s="12"/>
      <c r="F81" s="12"/>
      <c r="G81" s="12"/>
    </row>
    <row r="82" customFormat="false" ht="14.25" hidden="false" customHeight="true" outlineLevel="0" collapsed="false">
      <c r="B82" s="12"/>
      <c r="C82" s="12"/>
      <c r="D82" s="12"/>
      <c r="E82" s="12"/>
      <c r="F82" s="12"/>
      <c r="G82" s="12"/>
    </row>
    <row r="83" customFormat="false" ht="14.25" hidden="false" customHeight="true" outlineLevel="0" collapsed="false">
      <c r="B83" s="12"/>
      <c r="C83" s="12"/>
      <c r="D83" s="12"/>
      <c r="E83" s="12"/>
      <c r="F83" s="12"/>
      <c r="G83" s="12"/>
    </row>
    <row r="84" customFormat="false" ht="14.25" hidden="false" customHeight="true" outlineLevel="0" collapsed="false">
      <c r="B84" s="12"/>
      <c r="C84" s="12"/>
      <c r="D84" s="12"/>
      <c r="E84" s="12"/>
      <c r="F84" s="12"/>
      <c r="G84" s="12"/>
    </row>
    <row r="85" customFormat="false" ht="14.25" hidden="false" customHeight="true" outlineLevel="0" collapsed="false">
      <c r="B85" s="12"/>
      <c r="C85" s="12"/>
      <c r="D85" s="12"/>
      <c r="E85" s="12"/>
      <c r="F85" s="12"/>
      <c r="G85" s="12"/>
    </row>
    <row r="86" customFormat="false" ht="14.25" hidden="false" customHeight="true" outlineLevel="0" collapsed="false">
      <c r="B86" s="12"/>
      <c r="C86" s="12"/>
      <c r="D86" s="12"/>
      <c r="E86" s="12"/>
      <c r="F86" s="12"/>
      <c r="G86" s="12"/>
    </row>
    <row r="87" customFormat="false" ht="14.25" hidden="false" customHeight="true" outlineLevel="0" collapsed="false">
      <c r="B87" s="12"/>
      <c r="C87" s="12"/>
      <c r="D87" s="12"/>
      <c r="E87" s="12"/>
      <c r="F87" s="12"/>
      <c r="G87" s="12"/>
    </row>
    <row r="88" customFormat="false" ht="14.25" hidden="false" customHeight="true" outlineLevel="0" collapsed="false">
      <c r="B88" s="12"/>
      <c r="C88" s="12"/>
      <c r="D88" s="12"/>
      <c r="E88" s="12"/>
      <c r="F88" s="12"/>
      <c r="G88" s="12"/>
    </row>
    <row r="89" customFormat="false" ht="14.25" hidden="false" customHeight="true" outlineLevel="0" collapsed="false">
      <c r="B89" s="12"/>
      <c r="C89" s="12"/>
      <c r="D89" s="12"/>
      <c r="E89" s="12"/>
      <c r="F89" s="12"/>
      <c r="G89" s="12"/>
    </row>
    <row r="90" customFormat="false" ht="14.25" hidden="false" customHeight="true" outlineLevel="0" collapsed="false">
      <c r="B90" s="12"/>
      <c r="C90" s="12"/>
      <c r="D90" s="12"/>
      <c r="E90" s="12"/>
      <c r="F90" s="12"/>
      <c r="G90" s="12"/>
    </row>
    <row r="91" customFormat="false" ht="14.25" hidden="false" customHeight="true" outlineLevel="0" collapsed="false">
      <c r="B91" s="12"/>
      <c r="C91" s="12"/>
      <c r="D91" s="12"/>
      <c r="E91" s="12"/>
      <c r="F91" s="12"/>
      <c r="G91" s="12"/>
    </row>
    <row r="92" customFormat="false" ht="14.25" hidden="false" customHeight="true" outlineLevel="0" collapsed="false">
      <c r="B92" s="12"/>
      <c r="C92" s="12"/>
      <c r="D92" s="12"/>
      <c r="E92" s="12"/>
      <c r="F92" s="12"/>
      <c r="G92" s="12"/>
    </row>
    <row r="93" customFormat="false" ht="14.25" hidden="false" customHeight="true" outlineLevel="0" collapsed="false">
      <c r="B93" s="12"/>
      <c r="C93" s="12"/>
      <c r="D93" s="12"/>
      <c r="E93" s="12"/>
      <c r="F93" s="12"/>
      <c r="G93" s="12"/>
    </row>
    <row r="94" customFormat="false" ht="14.25" hidden="false" customHeight="true" outlineLevel="0" collapsed="false">
      <c r="B94" s="12"/>
      <c r="C94" s="12"/>
      <c r="D94" s="12"/>
      <c r="E94" s="12"/>
      <c r="F94" s="12"/>
      <c r="G94" s="12"/>
    </row>
    <row r="95" customFormat="false" ht="14.25" hidden="false" customHeight="true" outlineLevel="0" collapsed="false">
      <c r="B95" s="12"/>
      <c r="C95" s="12"/>
      <c r="D95" s="12"/>
      <c r="E95" s="12"/>
      <c r="F95" s="12"/>
      <c r="G95" s="12"/>
    </row>
    <row r="96" customFormat="false" ht="14.25" hidden="false" customHeight="true" outlineLevel="0" collapsed="false">
      <c r="B96" s="12"/>
      <c r="C96" s="12"/>
      <c r="D96" s="12"/>
      <c r="E96" s="12"/>
      <c r="F96" s="12"/>
      <c r="G96" s="12"/>
    </row>
    <row r="97" customFormat="false" ht="14.25" hidden="false" customHeight="true" outlineLevel="0" collapsed="false">
      <c r="B97" s="12"/>
      <c r="C97" s="12"/>
      <c r="D97" s="12"/>
      <c r="E97" s="12"/>
      <c r="F97" s="12"/>
      <c r="G97" s="12"/>
    </row>
    <row r="98" customFormat="false" ht="14.25" hidden="false" customHeight="true" outlineLevel="0" collapsed="false">
      <c r="B98" s="12"/>
      <c r="C98" s="12"/>
      <c r="D98" s="12"/>
      <c r="E98" s="12"/>
      <c r="F98" s="12"/>
      <c r="G98" s="12"/>
    </row>
    <row r="99" customFormat="false" ht="14.25" hidden="false" customHeight="true" outlineLevel="0" collapsed="false">
      <c r="B99" s="12"/>
      <c r="C99" s="12"/>
      <c r="D99" s="12"/>
      <c r="E99" s="12"/>
      <c r="F99" s="12"/>
      <c r="G99" s="12"/>
    </row>
    <row r="100" customFormat="false" ht="14.25" hidden="false" customHeight="true" outlineLevel="0" collapsed="false">
      <c r="B100" s="12"/>
      <c r="C100" s="12"/>
      <c r="D100" s="12"/>
      <c r="E100" s="12"/>
      <c r="F100" s="12"/>
      <c r="G100" s="12"/>
    </row>
    <row r="101" customFormat="false" ht="14.25" hidden="false" customHeight="true" outlineLevel="0" collapsed="false">
      <c r="B101" s="12"/>
      <c r="C101" s="12"/>
      <c r="D101" s="12"/>
      <c r="E101" s="12"/>
      <c r="F101" s="12"/>
      <c r="G101" s="12"/>
    </row>
    <row r="102" customFormat="false" ht="14.25" hidden="false" customHeight="true" outlineLevel="0" collapsed="false">
      <c r="B102" s="12"/>
      <c r="C102" s="12"/>
      <c r="D102" s="12"/>
      <c r="E102" s="12"/>
      <c r="F102" s="12"/>
      <c r="G102" s="12"/>
    </row>
    <row r="103" customFormat="false" ht="14.25" hidden="false" customHeight="true" outlineLevel="0" collapsed="false">
      <c r="B103" s="12"/>
      <c r="C103" s="12"/>
      <c r="D103" s="12"/>
      <c r="E103" s="12"/>
      <c r="F103" s="12"/>
      <c r="G103" s="12"/>
    </row>
    <row r="104" customFormat="false" ht="14.25" hidden="false" customHeight="true" outlineLevel="0" collapsed="false">
      <c r="B104" s="12"/>
      <c r="C104" s="12"/>
      <c r="D104" s="12"/>
      <c r="E104" s="12"/>
      <c r="F104" s="12"/>
      <c r="G104" s="12"/>
    </row>
    <row r="105" customFormat="false" ht="14.25" hidden="false" customHeight="true" outlineLevel="0" collapsed="false">
      <c r="B105" s="12"/>
      <c r="C105" s="12"/>
      <c r="D105" s="12"/>
      <c r="E105" s="12"/>
      <c r="F105" s="12"/>
      <c r="G105" s="12"/>
    </row>
    <row r="106" customFormat="false" ht="14.25" hidden="false" customHeight="true" outlineLevel="0" collapsed="false">
      <c r="B106" s="12"/>
      <c r="C106" s="12"/>
      <c r="D106" s="12"/>
      <c r="E106" s="12"/>
      <c r="F106" s="12"/>
      <c r="G106" s="12"/>
    </row>
    <row r="107" customFormat="false" ht="14.25" hidden="false" customHeight="true" outlineLevel="0" collapsed="false">
      <c r="B107" s="12"/>
      <c r="C107" s="12"/>
      <c r="D107" s="12"/>
      <c r="E107" s="12"/>
      <c r="F107" s="12"/>
      <c r="G107" s="12"/>
    </row>
    <row r="108" customFormat="false" ht="14.25" hidden="false" customHeight="true" outlineLevel="0" collapsed="false">
      <c r="B108" s="12"/>
      <c r="C108" s="12"/>
      <c r="D108" s="12"/>
      <c r="E108" s="12"/>
      <c r="F108" s="12"/>
      <c r="G108" s="12"/>
    </row>
    <row r="109" customFormat="false" ht="14.25" hidden="false" customHeight="true" outlineLevel="0" collapsed="false">
      <c r="B109" s="12"/>
      <c r="C109" s="12"/>
      <c r="D109" s="12"/>
      <c r="E109" s="12"/>
      <c r="F109" s="12"/>
      <c r="G109" s="12"/>
    </row>
    <row r="110" customFormat="false" ht="14.25" hidden="false" customHeight="true" outlineLevel="0" collapsed="false">
      <c r="B110" s="12"/>
      <c r="C110" s="12"/>
      <c r="D110" s="12"/>
      <c r="E110" s="12"/>
      <c r="F110" s="12"/>
      <c r="G110" s="12"/>
    </row>
    <row r="111" customFormat="false" ht="14.25" hidden="false" customHeight="true" outlineLevel="0" collapsed="false">
      <c r="B111" s="12"/>
      <c r="C111" s="12"/>
      <c r="D111" s="12"/>
      <c r="E111" s="12"/>
      <c r="F111" s="12"/>
      <c r="G111" s="12"/>
    </row>
    <row r="112" customFormat="false" ht="14.25" hidden="false" customHeight="true" outlineLevel="0" collapsed="false">
      <c r="B112" s="12"/>
      <c r="C112" s="12"/>
      <c r="D112" s="12"/>
      <c r="E112" s="12"/>
      <c r="F112" s="12"/>
      <c r="G112" s="12"/>
    </row>
    <row r="113" customFormat="false" ht="14.25" hidden="false" customHeight="true" outlineLevel="0" collapsed="false">
      <c r="B113" s="12"/>
      <c r="C113" s="12"/>
      <c r="D113" s="12"/>
      <c r="E113" s="12"/>
      <c r="F113" s="12"/>
      <c r="G113" s="12"/>
    </row>
    <row r="114" customFormat="false" ht="14.25" hidden="false" customHeight="true" outlineLevel="0" collapsed="false">
      <c r="B114" s="12"/>
      <c r="C114" s="12"/>
      <c r="D114" s="12"/>
      <c r="E114" s="12"/>
      <c r="F114" s="12"/>
      <c r="G114" s="12"/>
    </row>
    <row r="115" customFormat="false" ht="14.25" hidden="false" customHeight="true" outlineLevel="0" collapsed="false">
      <c r="B115" s="12"/>
      <c r="C115" s="12"/>
      <c r="D115" s="12"/>
      <c r="E115" s="12"/>
      <c r="F115" s="12"/>
      <c r="G115" s="12"/>
    </row>
    <row r="116" customFormat="false" ht="14.25" hidden="false" customHeight="true" outlineLevel="0" collapsed="false">
      <c r="B116" s="12"/>
      <c r="C116" s="12"/>
      <c r="D116" s="12"/>
      <c r="E116" s="12"/>
      <c r="F116" s="12"/>
      <c r="G116" s="12"/>
    </row>
    <row r="117" customFormat="false" ht="14.25" hidden="false" customHeight="true" outlineLevel="0" collapsed="false">
      <c r="B117" s="12"/>
      <c r="C117" s="12"/>
      <c r="D117" s="12"/>
      <c r="E117" s="12"/>
      <c r="F117" s="12"/>
      <c r="G117" s="12"/>
    </row>
    <row r="118" customFormat="false" ht="14.25" hidden="false" customHeight="true" outlineLevel="0" collapsed="false">
      <c r="B118" s="12"/>
      <c r="C118" s="12"/>
      <c r="D118" s="12"/>
      <c r="E118" s="12"/>
      <c r="F118" s="12"/>
      <c r="G118" s="12"/>
    </row>
    <row r="119" customFormat="false" ht="14.25" hidden="false" customHeight="true" outlineLevel="0" collapsed="false">
      <c r="B119" s="12"/>
      <c r="C119" s="12"/>
      <c r="D119" s="12"/>
      <c r="E119" s="12"/>
      <c r="F119" s="12"/>
      <c r="G119" s="12"/>
    </row>
    <row r="120" customFormat="false" ht="14.25" hidden="false" customHeight="true" outlineLevel="0" collapsed="false">
      <c r="B120" s="12"/>
      <c r="C120" s="12"/>
      <c r="D120" s="12"/>
      <c r="E120" s="12"/>
      <c r="F120" s="12"/>
      <c r="G120" s="12"/>
    </row>
    <row r="121" customFormat="false" ht="14.25" hidden="false" customHeight="true" outlineLevel="0" collapsed="false">
      <c r="B121" s="12"/>
      <c r="C121" s="12"/>
      <c r="D121" s="12"/>
      <c r="E121" s="12"/>
      <c r="F121" s="12"/>
      <c r="G121" s="12"/>
    </row>
    <row r="122" customFormat="false" ht="14.25" hidden="false" customHeight="true" outlineLevel="0" collapsed="false">
      <c r="B122" s="12"/>
      <c r="C122" s="12"/>
      <c r="D122" s="12"/>
      <c r="E122" s="12"/>
      <c r="F122" s="12"/>
      <c r="G122" s="12"/>
    </row>
    <row r="123" customFormat="false" ht="14.25" hidden="false" customHeight="true" outlineLevel="0" collapsed="false">
      <c r="B123" s="12"/>
      <c r="C123" s="12"/>
      <c r="D123" s="12"/>
      <c r="E123" s="12"/>
      <c r="F123" s="12"/>
      <c r="G123" s="12"/>
    </row>
    <row r="124" customFormat="false" ht="14.25" hidden="false" customHeight="true" outlineLevel="0" collapsed="false">
      <c r="B124" s="12"/>
      <c r="C124" s="12"/>
      <c r="D124" s="12"/>
      <c r="E124" s="12"/>
      <c r="F124" s="12"/>
      <c r="G124" s="12"/>
    </row>
    <row r="125" customFormat="false" ht="14.25" hidden="false" customHeight="true" outlineLevel="0" collapsed="false">
      <c r="B125" s="12"/>
      <c r="C125" s="12"/>
      <c r="D125" s="12"/>
      <c r="E125" s="12"/>
      <c r="F125" s="12"/>
      <c r="G125" s="12"/>
    </row>
    <row r="126" customFormat="false" ht="14.25" hidden="false" customHeight="true" outlineLevel="0" collapsed="false">
      <c r="B126" s="12"/>
      <c r="C126" s="12"/>
      <c r="D126" s="12"/>
      <c r="E126" s="12"/>
      <c r="F126" s="12"/>
      <c r="G126" s="12"/>
    </row>
    <row r="127" customFormat="false" ht="14.25" hidden="false" customHeight="true" outlineLevel="0" collapsed="false">
      <c r="B127" s="12"/>
      <c r="C127" s="12"/>
      <c r="D127" s="12"/>
      <c r="E127" s="12"/>
      <c r="F127" s="12"/>
      <c r="G127" s="12"/>
    </row>
    <row r="128" customFormat="false" ht="14.25" hidden="false" customHeight="true" outlineLevel="0" collapsed="false">
      <c r="B128" s="12"/>
      <c r="C128" s="12"/>
      <c r="D128" s="12"/>
      <c r="E128" s="12"/>
      <c r="F128" s="12"/>
      <c r="G128" s="12"/>
    </row>
    <row r="129" customFormat="false" ht="14.25" hidden="false" customHeight="true" outlineLevel="0" collapsed="false">
      <c r="B129" s="12"/>
      <c r="C129" s="12"/>
      <c r="D129" s="12"/>
      <c r="E129" s="12"/>
      <c r="F129" s="12"/>
      <c r="G129" s="12"/>
    </row>
    <row r="130" customFormat="false" ht="14.25" hidden="false" customHeight="true" outlineLevel="0" collapsed="false">
      <c r="B130" s="12"/>
      <c r="C130" s="12"/>
      <c r="D130" s="12"/>
      <c r="E130" s="12"/>
      <c r="F130" s="12"/>
      <c r="G130" s="12"/>
    </row>
    <row r="131" customFormat="false" ht="14.25" hidden="false" customHeight="true" outlineLevel="0" collapsed="false">
      <c r="B131" s="12"/>
      <c r="C131" s="12"/>
      <c r="D131" s="12"/>
      <c r="E131" s="12"/>
      <c r="F131" s="12"/>
      <c r="G131" s="12"/>
    </row>
    <row r="132" customFormat="false" ht="14.25" hidden="false" customHeight="true" outlineLevel="0" collapsed="false">
      <c r="B132" s="12"/>
      <c r="C132" s="12"/>
      <c r="D132" s="12"/>
      <c r="E132" s="12"/>
      <c r="F132" s="12"/>
      <c r="G132" s="12"/>
    </row>
    <row r="133" customFormat="false" ht="14.25" hidden="false" customHeight="true" outlineLevel="0" collapsed="false">
      <c r="B133" s="12"/>
      <c r="C133" s="12"/>
      <c r="D133" s="12"/>
      <c r="E133" s="12"/>
      <c r="F133" s="12"/>
      <c r="G133" s="12"/>
    </row>
    <row r="134" customFormat="false" ht="14.25" hidden="false" customHeight="true" outlineLevel="0" collapsed="false">
      <c r="B134" s="12"/>
      <c r="C134" s="12"/>
      <c r="D134" s="12"/>
      <c r="E134" s="12"/>
      <c r="F134" s="12"/>
      <c r="G134" s="12"/>
    </row>
    <row r="135" customFormat="false" ht="14.25" hidden="false" customHeight="true" outlineLevel="0" collapsed="false">
      <c r="B135" s="12"/>
      <c r="C135" s="12"/>
      <c r="D135" s="12"/>
      <c r="E135" s="12"/>
      <c r="F135" s="12"/>
      <c r="G135" s="12"/>
    </row>
    <row r="136" customFormat="false" ht="14.25" hidden="false" customHeight="true" outlineLevel="0" collapsed="false">
      <c r="B136" s="12"/>
      <c r="C136" s="12"/>
      <c r="D136" s="12"/>
      <c r="E136" s="12"/>
      <c r="F136" s="12"/>
      <c r="G136" s="12"/>
    </row>
    <row r="137" customFormat="false" ht="14.25" hidden="false" customHeight="true" outlineLevel="0" collapsed="false">
      <c r="B137" s="12"/>
      <c r="C137" s="12"/>
      <c r="D137" s="12"/>
      <c r="E137" s="12"/>
      <c r="F137" s="12"/>
      <c r="G137" s="12"/>
    </row>
    <row r="138" customFormat="false" ht="14.25" hidden="false" customHeight="true" outlineLevel="0" collapsed="false">
      <c r="B138" s="12"/>
      <c r="C138" s="12"/>
      <c r="D138" s="12"/>
      <c r="E138" s="12"/>
      <c r="F138" s="12"/>
      <c r="G138" s="12"/>
    </row>
    <row r="139" customFormat="false" ht="14.25" hidden="false" customHeight="true" outlineLevel="0" collapsed="false">
      <c r="B139" s="12"/>
      <c r="C139" s="12"/>
      <c r="D139" s="12"/>
      <c r="E139" s="12"/>
      <c r="F139" s="12"/>
      <c r="G139" s="12"/>
    </row>
    <row r="140" customFormat="false" ht="14.25" hidden="false" customHeight="true" outlineLevel="0" collapsed="false">
      <c r="B140" s="12"/>
      <c r="C140" s="12"/>
      <c r="D140" s="12"/>
      <c r="E140" s="12"/>
      <c r="F140" s="12"/>
      <c r="G140" s="12"/>
    </row>
    <row r="141" customFormat="false" ht="14.25" hidden="false" customHeight="true" outlineLevel="0" collapsed="false">
      <c r="B141" s="12"/>
      <c r="C141" s="12"/>
      <c r="D141" s="12"/>
      <c r="E141" s="12"/>
      <c r="F141" s="12"/>
      <c r="G141" s="12"/>
    </row>
    <row r="142" customFormat="false" ht="14.25" hidden="false" customHeight="true" outlineLevel="0" collapsed="false">
      <c r="B142" s="12"/>
      <c r="C142" s="12"/>
      <c r="D142" s="12"/>
      <c r="E142" s="12"/>
      <c r="F142" s="12"/>
      <c r="G142" s="12"/>
    </row>
    <row r="143" customFormat="false" ht="14.25" hidden="false" customHeight="true" outlineLevel="0" collapsed="false">
      <c r="B143" s="12"/>
      <c r="C143" s="12"/>
      <c r="D143" s="12"/>
      <c r="E143" s="12"/>
      <c r="F143" s="12"/>
      <c r="G143" s="12"/>
    </row>
    <row r="144" customFormat="false" ht="14.25" hidden="false" customHeight="true" outlineLevel="0" collapsed="false">
      <c r="B144" s="12"/>
      <c r="C144" s="12"/>
      <c r="D144" s="12"/>
      <c r="E144" s="12"/>
      <c r="F144" s="12"/>
      <c r="G144" s="12"/>
    </row>
    <row r="145" customFormat="false" ht="14.25" hidden="false" customHeight="true" outlineLevel="0" collapsed="false">
      <c r="B145" s="12"/>
      <c r="C145" s="12"/>
      <c r="D145" s="12"/>
      <c r="E145" s="12"/>
      <c r="F145" s="12"/>
      <c r="G145" s="12"/>
    </row>
    <row r="146" customFormat="false" ht="14.25" hidden="false" customHeight="true" outlineLevel="0" collapsed="false">
      <c r="B146" s="12"/>
      <c r="C146" s="12"/>
      <c r="D146" s="12"/>
      <c r="E146" s="12"/>
      <c r="F146" s="12"/>
      <c r="G146" s="12"/>
    </row>
    <row r="147" customFormat="false" ht="14.25" hidden="false" customHeight="true" outlineLevel="0" collapsed="false">
      <c r="B147" s="12"/>
      <c r="C147" s="12"/>
      <c r="D147" s="12"/>
      <c r="E147" s="12"/>
      <c r="F147" s="12"/>
      <c r="G147" s="12"/>
    </row>
    <row r="148" customFormat="false" ht="14.25" hidden="false" customHeight="true" outlineLevel="0" collapsed="false">
      <c r="B148" s="12"/>
      <c r="C148" s="12"/>
      <c r="D148" s="12"/>
      <c r="E148" s="12"/>
      <c r="F148" s="12"/>
      <c r="G148" s="12"/>
    </row>
    <row r="149" customFormat="false" ht="14.25" hidden="false" customHeight="true" outlineLevel="0" collapsed="false">
      <c r="B149" s="12"/>
      <c r="C149" s="12"/>
      <c r="D149" s="12"/>
      <c r="E149" s="12"/>
      <c r="F149" s="12"/>
      <c r="G149" s="12"/>
    </row>
    <row r="150" customFormat="false" ht="14.25" hidden="false" customHeight="true" outlineLevel="0" collapsed="false">
      <c r="B150" s="12"/>
      <c r="C150" s="12"/>
      <c r="D150" s="12"/>
      <c r="E150" s="12"/>
      <c r="F150" s="12"/>
      <c r="G150" s="12"/>
    </row>
    <row r="151" customFormat="false" ht="14.25" hidden="false" customHeight="true" outlineLevel="0" collapsed="false">
      <c r="B151" s="12"/>
      <c r="C151" s="12"/>
      <c r="D151" s="12"/>
      <c r="E151" s="12"/>
      <c r="F151" s="12"/>
      <c r="G151" s="12"/>
    </row>
    <row r="152" customFormat="false" ht="14.25" hidden="false" customHeight="true" outlineLevel="0" collapsed="false">
      <c r="B152" s="12"/>
      <c r="C152" s="12"/>
      <c r="D152" s="12"/>
      <c r="E152" s="12"/>
      <c r="F152" s="12"/>
      <c r="G152" s="12"/>
    </row>
    <row r="153" customFormat="false" ht="14.25" hidden="false" customHeight="true" outlineLevel="0" collapsed="false">
      <c r="B153" s="12"/>
      <c r="C153" s="12"/>
      <c r="D153" s="12"/>
      <c r="E153" s="12"/>
      <c r="F153" s="12"/>
      <c r="G153" s="12"/>
    </row>
    <row r="154" customFormat="false" ht="14.25" hidden="false" customHeight="true" outlineLevel="0" collapsed="false">
      <c r="B154" s="12"/>
      <c r="C154" s="12"/>
      <c r="D154" s="12"/>
      <c r="E154" s="12"/>
      <c r="F154" s="12"/>
      <c r="G154" s="12"/>
    </row>
    <row r="155" customFormat="false" ht="14.25" hidden="false" customHeight="true" outlineLevel="0" collapsed="false">
      <c r="B155" s="12"/>
      <c r="C155" s="12"/>
      <c r="D155" s="12"/>
      <c r="E155" s="12"/>
      <c r="F155" s="12"/>
      <c r="G155" s="12"/>
    </row>
    <row r="156" customFormat="false" ht="14.25" hidden="false" customHeight="true" outlineLevel="0" collapsed="false">
      <c r="B156" s="12"/>
      <c r="C156" s="12"/>
      <c r="D156" s="12"/>
      <c r="E156" s="12"/>
      <c r="F156" s="12"/>
      <c r="G156" s="12"/>
    </row>
    <row r="157" customFormat="false" ht="14.25" hidden="false" customHeight="true" outlineLevel="0" collapsed="false">
      <c r="B157" s="12"/>
      <c r="C157" s="12"/>
      <c r="D157" s="12"/>
      <c r="E157" s="12"/>
      <c r="F157" s="12"/>
      <c r="G157" s="12"/>
    </row>
    <row r="158" customFormat="false" ht="14.25" hidden="false" customHeight="true" outlineLevel="0" collapsed="false">
      <c r="B158" s="12"/>
      <c r="C158" s="12"/>
      <c r="D158" s="12"/>
      <c r="E158" s="12"/>
      <c r="F158" s="12"/>
      <c r="G158" s="12"/>
    </row>
    <row r="159" customFormat="false" ht="14.25" hidden="false" customHeight="true" outlineLevel="0" collapsed="false">
      <c r="B159" s="12"/>
      <c r="C159" s="12"/>
      <c r="D159" s="12"/>
      <c r="E159" s="12"/>
      <c r="F159" s="12"/>
      <c r="G159" s="12"/>
    </row>
    <row r="160" customFormat="false" ht="14.25" hidden="false" customHeight="true" outlineLevel="0" collapsed="false">
      <c r="B160" s="12"/>
      <c r="C160" s="12"/>
      <c r="D160" s="12"/>
      <c r="E160" s="12"/>
      <c r="F160" s="12"/>
      <c r="G160" s="12"/>
    </row>
    <row r="161" customFormat="false" ht="14.25" hidden="false" customHeight="true" outlineLevel="0" collapsed="false">
      <c r="B161" s="12"/>
      <c r="C161" s="12"/>
      <c r="D161" s="12"/>
      <c r="E161" s="12"/>
      <c r="F161" s="12"/>
      <c r="G161" s="12"/>
    </row>
    <row r="162" customFormat="false" ht="14.25" hidden="false" customHeight="true" outlineLevel="0" collapsed="false">
      <c r="B162" s="12"/>
      <c r="C162" s="12"/>
      <c r="D162" s="12"/>
      <c r="E162" s="12"/>
      <c r="F162" s="12"/>
      <c r="G162" s="12"/>
    </row>
    <row r="163" customFormat="false" ht="14.25" hidden="false" customHeight="true" outlineLevel="0" collapsed="false">
      <c r="B163" s="12"/>
      <c r="C163" s="12"/>
      <c r="D163" s="12"/>
      <c r="E163" s="12"/>
      <c r="F163" s="12"/>
      <c r="G163" s="12"/>
    </row>
    <row r="164" customFormat="false" ht="14.25" hidden="false" customHeight="true" outlineLevel="0" collapsed="false">
      <c r="B164" s="12"/>
      <c r="C164" s="12"/>
      <c r="D164" s="12"/>
      <c r="E164" s="12"/>
      <c r="F164" s="12"/>
      <c r="G164" s="12"/>
    </row>
    <row r="165" customFormat="false" ht="14.25" hidden="false" customHeight="true" outlineLevel="0" collapsed="false">
      <c r="B165" s="12"/>
      <c r="C165" s="12"/>
      <c r="D165" s="12"/>
      <c r="E165" s="12"/>
      <c r="F165" s="12"/>
      <c r="G165" s="12"/>
    </row>
    <row r="166" customFormat="false" ht="14.25" hidden="false" customHeight="true" outlineLevel="0" collapsed="false">
      <c r="B166" s="12"/>
      <c r="C166" s="12"/>
      <c r="D166" s="12"/>
      <c r="E166" s="12"/>
      <c r="F166" s="12"/>
      <c r="G166" s="12"/>
    </row>
    <row r="167" customFormat="false" ht="14.25" hidden="false" customHeight="true" outlineLevel="0" collapsed="false">
      <c r="B167" s="12"/>
      <c r="C167" s="12"/>
      <c r="D167" s="12"/>
      <c r="E167" s="12"/>
      <c r="F167" s="12"/>
      <c r="G167" s="12"/>
    </row>
    <row r="168" customFormat="false" ht="14.25" hidden="false" customHeight="true" outlineLevel="0" collapsed="false">
      <c r="B168" s="12"/>
      <c r="C168" s="12"/>
      <c r="D168" s="12"/>
      <c r="E168" s="12"/>
      <c r="F168" s="12"/>
      <c r="G168" s="12"/>
    </row>
    <row r="169" customFormat="false" ht="14.25" hidden="false" customHeight="true" outlineLevel="0" collapsed="false">
      <c r="B169" s="12"/>
      <c r="C169" s="12"/>
      <c r="D169" s="12"/>
      <c r="E169" s="12"/>
      <c r="F169" s="12"/>
      <c r="G169" s="12"/>
    </row>
    <row r="170" customFormat="false" ht="14.25" hidden="false" customHeight="true" outlineLevel="0" collapsed="false">
      <c r="B170" s="12"/>
      <c r="C170" s="12"/>
      <c r="D170" s="12"/>
      <c r="E170" s="12"/>
      <c r="F170" s="12"/>
      <c r="G170" s="12"/>
    </row>
    <row r="171" customFormat="false" ht="14.25" hidden="false" customHeight="true" outlineLevel="0" collapsed="false">
      <c r="B171" s="12"/>
      <c r="C171" s="12"/>
      <c r="D171" s="12"/>
      <c r="E171" s="12"/>
      <c r="F171" s="12"/>
      <c r="G171" s="12"/>
    </row>
    <row r="172" customFormat="false" ht="14.25" hidden="false" customHeight="true" outlineLevel="0" collapsed="false">
      <c r="B172" s="12"/>
      <c r="C172" s="12"/>
      <c r="D172" s="12"/>
      <c r="E172" s="12"/>
      <c r="F172" s="12"/>
      <c r="G172" s="12"/>
    </row>
    <row r="173" customFormat="false" ht="14.25" hidden="false" customHeight="true" outlineLevel="0" collapsed="false">
      <c r="B173" s="12"/>
      <c r="C173" s="12"/>
      <c r="D173" s="12"/>
      <c r="E173" s="12"/>
      <c r="F173" s="12"/>
      <c r="G173" s="12"/>
    </row>
    <row r="174" customFormat="false" ht="14.25" hidden="false" customHeight="true" outlineLevel="0" collapsed="false">
      <c r="B174" s="12"/>
      <c r="C174" s="12"/>
      <c r="D174" s="12"/>
      <c r="E174" s="12"/>
      <c r="F174" s="12"/>
      <c r="G174" s="12"/>
    </row>
    <row r="175" customFormat="false" ht="14.25" hidden="false" customHeight="true" outlineLevel="0" collapsed="false">
      <c r="B175" s="12"/>
      <c r="C175" s="12"/>
      <c r="D175" s="12"/>
      <c r="E175" s="12"/>
      <c r="F175" s="12"/>
      <c r="G175" s="12"/>
    </row>
    <row r="176" customFormat="false" ht="14.25" hidden="false" customHeight="true" outlineLevel="0" collapsed="false">
      <c r="B176" s="12"/>
      <c r="C176" s="12"/>
      <c r="D176" s="12"/>
      <c r="E176" s="12"/>
      <c r="F176" s="12"/>
      <c r="G176" s="12"/>
    </row>
    <row r="177" customFormat="false" ht="14.25" hidden="false" customHeight="true" outlineLevel="0" collapsed="false">
      <c r="B177" s="12"/>
      <c r="C177" s="12"/>
      <c r="D177" s="12"/>
      <c r="E177" s="12"/>
      <c r="F177" s="12"/>
      <c r="G177" s="12"/>
    </row>
    <row r="178" customFormat="false" ht="14.25" hidden="false" customHeight="true" outlineLevel="0" collapsed="false">
      <c r="B178" s="12"/>
      <c r="C178" s="12"/>
      <c r="D178" s="12"/>
      <c r="E178" s="12"/>
      <c r="F178" s="12"/>
      <c r="G178" s="12"/>
    </row>
    <row r="179" customFormat="false" ht="14.25" hidden="false" customHeight="true" outlineLevel="0" collapsed="false">
      <c r="B179" s="12"/>
      <c r="C179" s="12"/>
      <c r="D179" s="12"/>
      <c r="E179" s="12"/>
      <c r="F179" s="12"/>
      <c r="G179" s="12"/>
    </row>
    <row r="180" customFormat="false" ht="14.25" hidden="false" customHeight="true" outlineLevel="0" collapsed="false">
      <c r="B180" s="12"/>
      <c r="C180" s="12"/>
      <c r="D180" s="12"/>
      <c r="E180" s="12"/>
      <c r="F180" s="12"/>
      <c r="G180" s="12"/>
    </row>
    <row r="181" customFormat="false" ht="14.25" hidden="false" customHeight="true" outlineLevel="0" collapsed="false">
      <c r="B181" s="12"/>
      <c r="C181" s="12"/>
      <c r="D181" s="12"/>
      <c r="E181" s="12"/>
      <c r="F181" s="12"/>
      <c r="G181" s="12"/>
    </row>
    <row r="182" customFormat="false" ht="14.25" hidden="false" customHeight="true" outlineLevel="0" collapsed="false">
      <c r="B182" s="12"/>
      <c r="C182" s="12"/>
      <c r="D182" s="12"/>
      <c r="E182" s="12"/>
      <c r="F182" s="12"/>
      <c r="G182" s="12"/>
    </row>
    <row r="183" customFormat="false" ht="14.25" hidden="false" customHeight="true" outlineLevel="0" collapsed="false">
      <c r="B183" s="12"/>
      <c r="C183" s="12"/>
      <c r="D183" s="12"/>
      <c r="E183" s="12"/>
      <c r="F183" s="12"/>
      <c r="G183" s="12"/>
    </row>
    <row r="184" customFormat="false" ht="14.25" hidden="false" customHeight="true" outlineLevel="0" collapsed="false">
      <c r="B184" s="12"/>
      <c r="C184" s="12"/>
      <c r="D184" s="12"/>
      <c r="E184" s="12"/>
      <c r="F184" s="12"/>
      <c r="G184" s="12"/>
    </row>
    <row r="185" customFormat="false" ht="14.25" hidden="false" customHeight="true" outlineLevel="0" collapsed="false">
      <c r="B185" s="12"/>
      <c r="C185" s="12"/>
      <c r="D185" s="12"/>
      <c r="E185" s="12"/>
      <c r="F185" s="12"/>
      <c r="G185" s="12"/>
    </row>
    <row r="186" customFormat="false" ht="14.25" hidden="false" customHeight="true" outlineLevel="0" collapsed="false">
      <c r="B186" s="12"/>
      <c r="C186" s="12"/>
      <c r="D186" s="12"/>
      <c r="E186" s="12"/>
      <c r="F186" s="12"/>
      <c r="G186" s="12"/>
    </row>
    <row r="187" customFormat="false" ht="14.25" hidden="false" customHeight="true" outlineLevel="0" collapsed="false">
      <c r="B187" s="12"/>
      <c r="C187" s="12"/>
      <c r="D187" s="12"/>
      <c r="E187" s="12"/>
      <c r="F187" s="12"/>
      <c r="G187" s="12"/>
    </row>
    <row r="188" customFormat="false" ht="14.25" hidden="false" customHeight="true" outlineLevel="0" collapsed="false">
      <c r="B188" s="12"/>
      <c r="C188" s="12"/>
      <c r="D188" s="12"/>
      <c r="E188" s="12"/>
      <c r="F188" s="12"/>
      <c r="G188" s="12"/>
    </row>
    <row r="189" customFormat="false" ht="14.25" hidden="false" customHeight="true" outlineLevel="0" collapsed="false">
      <c r="B189" s="12"/>
      <c r="C189" s="12"/>
      <c r="D189" s="12"/>
      <c r="E189" s="12"/>
      <c r="F189" s="12"/>
      <c r="G189" s="12"/>
    </row>
    <row r="190" customFormat="false" ht="14.25" hidden="false" customHeight="true" outlineLevel="0" collapsed="false">
      <c r="B190" s="12"/>
      <c r="C190" s="12"/>
      <c r="D190" s="12"/>
      <c r="E190" s="12"/>
      <c r="F190" s="12"/>
      <c r="G190" s="12"/>
    </row>
    <row r="191" customFormat="false" ht="14.25" hidden="false" customHeight="true" outlineLevel="0" collapsed="false">
      <c r="B191" s="12"/>
      <c r="C191" s="12"/>
      <c r="D191" s="12"/>
      <c r="E191" s="12"/>
      <c r="F191" s="12"/>
      <c r="G191" s="12"/>
    </row>
    <row r="192" customFormat="false" ht="14.25" hidden="false" customHeight="true" outlineLevel="0" collapsed="false">
      <c r="B192" s="12"/>
      <c r="C192" s="12"/>
      <c r="D192" s="12"/>
      <c r="E192" s="12"/>
      <c r="F192" s="12"/>
      <c r="G192" s="12"/>
    </row>
    <row r="193" customFormat="false" ht="14.25" hidden="false" customHeight="true" outlineLevel="0" collapsed="false">
      <c r="B193" s="12"/>
      <c r="C193" s="12"/>
      <c r="D193" s="12"/>
      <c r="E193" s="12"/>
      <c r="F193" s="12"/>
      <c r="G193" s="12"/>
    </row>
    <row r="194" customFormat="false" ht="14.25" hidden="false" customHeight="true" outlineLevel="0" collapsed="false">
      <c r="B194" s="12"/>
      <c r="C194" s="12"/>
      <c r="D194" s="12"/>
      <c r="E194" s="12"/>
      <c r="F194" s="12"/>
      <c r="G194" s="12"/>
    </row>
    <row r="195" customFormat="false" ht="14.25" hidden="false" customHeight="true" outlineLevel="0" collapsed="false">
      <c r="B195" s="12"/>
      <c r="C195" s="12"/>
      <c r="D195" s="12"/>
      <c r="E195" s="12"/>
      <c r="F195" s="12"/>
      <c r="G195" s="12"/>
    </row>
    <row r="196" customFormat="false" ht="14.25" hidden="false" customHeight="true" outlineLevel="0" collapsed="false">
      <c r="B196" s="12"/>
      <c r="C196" s="12"/>
      <c r="D196" s="12"/>
      <c r="E196" s="12"/>
      <c r="F196" s="12"/>
      <c r="G196" s="12"/>
    </row>
    <row r="197" customFormat="false" ht="14.25" hidden="false" customHeight="true" outlineLevel="0" collapsed="false">
      <c r="B197" s="12"/>
      <c r="C197" s="12"/>
      <c r="D197" s="12"/>
      <c r="E197" s="12"/>
      <c r="F197" s="12"/>
      <c r="G197" s="12"/>
    </row>
    <row r="198" customFormat="false" ht="14.25" hidden="false" customHeight="true" outlineLevel="0" collapsed="false">
      <c r="B198" s="12"/>
      <c r="C198" s="12"/>
      <c r="D198" s="12"/>
      <c r="E198" s="12"/>
      <c r="F198" s="12"/>
      <c r="G198" s="12"/>
    </row>
    <row r="199" customFormat="false" ht="14.25" hidden="false" customHeight="true" outlineLevel="0" collapsed="false">
      <c r="B199" s="12"/>
      <c r="C199" s="12"/>
      <c r="D199" s="12"/>
      <c r="E199" s="12"/>
      <c r="F199" s="12"/>
      <c r="G199" s="12"/>
    </row>
    <row r="200" customFormat="false" ht="14.25" hidden="false" customHeight="true" outlineLevel="0" collapsed="false">
      <c r="B200" s="12"/>
      <c r="C200" s="12"/>
      <c r="D200" s="12"/>
      <c r="E200" s="12"/>
      <c r="F200" s="12"/>
      <c r="G200" s="12"/>
    </row>
    <row r="201" customFormat="false" ht="14.25" hidden="false" customHeight="true" outlineLevel="0" collapsed="false">
      <c r="B201" s="12"/>
      <c r="C201" s="12"/>
      <c r="D201" s="12"/>
      <c r="E201" s="12"/>
      <c r="F201" s="12"/>
      <c r="G201" s="12"/>
    </row>
    <row r="202" customFormat="false" ht="14.25" hidden="false" customHeight="true" outlineLevel="0" collapsed="false">
      <c r="B202" s="12"/>
      <c r="C202" s="12"/>
      <c r="D202" s="12"/>
      <c r="E202" s="12"/>
      <c r="F202" s="12"/>
      <c r="G202" s="12"/>
    </row>
    <row r="203" customFormat="false" ht="14.25" hidden="false" customHeight="true" outlineLevel="0" collapsed="false">
      <c r="B203" s="12"/>
      <c r="C203" s="12"/>
      <c r="D203" s="12"/>
      <c r="E203" s="12"/>
      <c r="F203" s="12"/>
      <c r="G203" s="12"/>
    </row>
    <row r="204" customFormat="false" ht="14.25" hidden="false" customHeight="true" outlineLevel="0" collapsed="false">
      <c r="B204" s="12"/>
      <c r="C204" s="12"/>
      <c r="D204" s="12"/>
      <c r="E204" s="12"/>
      <c r="F204" s="12"/>
      <c r="G204" s="12"/>
    </row>
    <row r="205" customFormat="false" ht="14.25" hidden="false" customHeight="true" outlineLevel="0" collapsed="false">
      <c r="B205" s="12"/>
      <c r="C205" s="12"/>
      <c r="D205" s="12"/>
      <c r="E205" s="12"/>
      <c r="F205" s="12"/>
      <c r="G205" s="12"/>
    </row>
    <row r="206" customFormat="false" ht="14.25" hidden="false" customHeight="true" outlineLevel="0" collapsed="false">
      <c r="B206" s="12"/>
      <c r="C206" s="12"/>
      <c r="D206" s="12"/>
      <c r="E206" s="12"/>
      <c r="F206" s="12"/>
      <c r="G206" s="12"/>
    </row>
    <row r="207" customFormat="false" ht="14.25" hidden="false" customHeight="true" outlineLevel="0" collapsed="false">
      <c r="B207" s="12"/>
      <c r="C207" s="12"/>
      <c r="D207" s="12"/>
      <c r="E207" s="12"/>
      <c r="F207" s="12"/>
      <c r="G207" s="12"/>
    </row>
    <row r="208" customFormat="false" ht="14.25" hidden="false" customHeight="true" outlineLevel="0" collapsed="false">
      <c r="B208" s="12"/>
      <c r="C208" s="12"/>
      <c r="D208" s="12"/>
      <c r="E208" s="12"/>
      <c r="F208" s="12"/>
      <c r="G208" s="12"/>
    </row>
    <row r="209" customFormat="false" ht="14.25" hidden="false" customHeight="true" outlineLevel="0" collapsed="false">
      <c r="B209" s="12"/>
      <c r="C209" s="12"/>
      <c r="D209" s="12"/>
      <c r="E209" s="12"/>
      <c r="F209" s="12"/>
      <c r="G209" s="12"/>
    </row>
    <row r="210" customFormat="false" ht="14.25" hidden="false" customHeight="true" outlineLevel="0" collapsed="false">
      <c r="B210" s="12"/>
      <c r="C210" s="12"/>
      <c r="D210" s="12"/>
      <c r="E210" s="12"/>
      <c r="F210" s="12"/>
      <c r="G210" s="12"/>
    </row>
    <row r="211" customFormat="false" ht="14.25" hidden="false" customHeight="true" outlineLevel="0" collapsed="false">
      <c r="B211" s="12"/>
      <c r="C211" s="12"/>
      <c r="D211" s="12"/>
      <c r="E211" s="12"/>
      <c r="F211" s="12"/>
      <c r="G211" s="12"/>
    </row>
    <row r="212" customFormat="false" ht="14.25" hidden="false" customHeight="true" outlineLevel="0" collapsed="false">
      <c r="B212" s="12"/>
      <c r="C212" s="12"/>
      <c r="D212" s="12"/>
      <c r="E212" s="12"/>
      <c r="F212" s="12"/>
      <c r="G212" s="12"/>
    </row>
    <row r="213" customFormat="false" ht="14.25" hidden="false" customHeight="true" outlineLevel="0" collapsed="false">
      <c r="B213" s="12"/>
      <c r="C213" s="12"/>
      <c r="D213" s="12"/>
      <c r="E213" s="12"/>
      <c r="F213" s="12"/>
      <c r="G213" s="12"/>
    </row>
    <row r="214" customFormat="false" ht="14.25" hidden="false" customHeight="true" outlineLevel="0" collapsed="false">
      <c r="B214" s="12"/>
      <c r="C214" s="12"/>
      <c r="D214" s="12"/>
      <c r="E214" s="12"/>
      <c r="F214" s="12"/>
      <c r="G214" s="12"/>
    </row>
    <row r="215" customFormat="false" ht="14.25" hidden="false" customHeight="true" outlineLevel="0" collapsed="false">
      <c r="B215" s="12"/>
      <c r="C215" s="12"/>
      <c r="D215" s="12"/>
      <c r="E215" s="12"/>
      <c r="F215" s="12"/>
      <c r="G215" s="12"/>
    </row>
    <row r="216" customFormat="false" ht="14.25" hidden="false" customHeight="true" outlineLevel="0" collapsed="false">
      <c r="B216" s="12"/>
      <c r="C216" s="12"/>
      <c r="D216" s="12"/>
      <c r="E216" s="12"/>
      <c r="F216" s="12"/>
      <c r="G216" s="12"/>
    </row>
    <row r="217" customFormat="false" ht="14.25" hidden="false" customHeight="true" outlineLevel="0" collapsed="false">
      <c r="B217" s="12"/>
      <c r="C217" s="12"/>
      <c r="D217" s="12"/>
      <c r="E217" s="12"/>
      <c r="F217" s="12"/>
      <c r="G217" s="12"/>
    </row>
    <row r="218" customFormat="false" ht="14.25" hidden="false" customHeight="true" outlineLevel="0" collapsed="false">
      <c r="B218" s="12"/>
      <c r="C218" s="12"/>
      <c r="D218" s="12"/>
      <c r="E218" s="12"/>
      <c r="F218" s="12"/>
      <c r="G218" s="12"/>
    </row>
    <row r="219" customFormat="false" ht="14.25" hidden="false" customHeight="true" outlineLevel="0" collapsed="false">
      <c r="B219" s="12"/>
      <c r="C219" s="12"/>
      <c r="D219" s="12"/>
      <c r="E219" s="12"/>
      <c r="F219" s="12"/>
      <c r="G219" s="12"/>
    </row>
    <row r="220" customFormat="false" ht="14.25" hidden="false" customHeight="true" outlineLevel="0" collapsed="false">
      <c r="B220" s="12"/>
      <c r="C220" s="12"/>
      <c r="D220" s="12"/>
      <c r="E220" s="12"/>
      <c r="F220" s="12"/>
      <c r="G220" s="12"/>
    </row>
    <row r="221" customFormat="false" ht="14.25" hidden="false" customHeight="true" outlineLevel="0" collapsed="false">
      <c r="B221" s="12"/>
      <c r="C221" s="12"/>
      <c r="D221" s="12"/>
      <c r="E221" s="12"/>
      <c r="F221" s="12"/>
      <c r="G221" s="12"/>
    </row>
    <row r="222" customFormat="false" ht="14.25" hidden="false" customHeight="true" outlineLevel="0" collapsed="false">
      <c r="B222" s="12"/>
      <c r="C222" s="12"/>
      <c r="D222" s="12"/>
      <c r="E222" s="12"/>
      <c r="F222" s="12"/>
      <c r="G222" s="12"/>
    </row>
    <row r="223" customFormat="false" ht="14.25" hidden="false" customHeight="true" outlineLevel="0" collapsed="false">
      <c r="B223" s="12"/>
      <c r="C223" s="12"/>
      <c r="D223" s="12"/>
      <c r="E223" s="12"/>
      <c r="F223" s="12"/>
      <c r="G223" s="12"/>
    </row>
    <row r="224" customFormat="false" ht="14.25" hidden="false" customHeight="true" outlineLevel="0" collapsed="false">
      <c r="B224" s="12"/>
      <c r="C224" s="12"/>
      <c r="D224" s="12"/>
      <c r="E224" s="12"/>
      <c r="F224" s="12"/>
      <c r="G224" s="12"/>
    </row>
    <row r="225" customFormat="false" ht="14.25" hidden="false" customHeight="true" outlineLevel="0" collapsed="false">
      <c r="B225" s="12"/>
      <c r="C225" s="12"/>
      <c r="D225" s="12"/>
      <c r="E225" s="12"/>
      <c r="F225" s="12"/>
      <c r="G225" s="12"/>
    </row>
    <row r="226" customFormat="false" ht="14.25" hidden="false" customHeight="true" outlineLevel="0" collapsed="false">
      <c r="B226" s="12"/>
      <c r="C226" s="12"/>
      <c r="D226" s="12"/>
      <c r="E226" s="12"/>
      <c r="F226" s="12"/>
      <c r="G226" s="12"/>
    </row>
    <row r="227" customFormat="false" ht="14.25" hidden="false" customHeight="true" outlineLevel="0" collapsed="false">
      <c r="B227" s="12"/>
      <c r="C227" s="12"/>
      <c r="D227" s="12"/>
      <c r="E227" s="12"/>
      <c r="F227" s="12"/>
      <c r="G227" s="12"/>
    </row>
    <row r="228" customFormat="false" ht="14.25" hidden="false" customHeight="true" outlineLevel="0" collapsed="false">
      <c r="B228" s="12"/>
      <c r="C228" s="12"/>
      <c r="D228" s="12"/>
      <c r="E228" s="12"/>
      <c r="F228" s="12"/>
      <c r="G228" s="12"/>
    </row>
    <row r="229" customFormat="false" ht="14.25" hidden="false" customHeight="true" outlineLevel="0" collapsed="false">
      <c r="B229" s="12"/>
      <c r="C229" s="12"/>
      <c r="D229" s="12"/>
      <c r="E229" s="12"/>
      <c r="F229" s="12"/>
      <c r="G229" s="12"/>
    </row>
    <row r="230" customFormat="false" ht="14.25" hidden="false" customHeight="true" outlineLevel="0" collapsed="false">
      <c r="B230" s="12"/>
      <c r="C230" s="12"/>
      <c r="D230" s="12"/>
      <c r="E230" s="12"/>
      <c r="F230" s="12"/>
      <c r="G230" s="12"/>
    </row>
    <row r="231" customFormat="false" ht="14.25" hidden="false" customHeight="true" outlineLevel="0" collapsed="false">
      <c r="B231" s="12"/>
      <c r="C231" s="12"/>
      <c r="D231" s="12"/>
      <c r="E231" s="12"/>
      <c r="F231" s="12"/>
      <c r="G231" s="12"/>
    </row>
    <row r="232" customFormat="false" ht="14.25" hidden="false" customHeight="true" outlineLevel="0" collapsed="false">
      <c r="B232" s="12"/>
      <c r="C232" s="12"/>
      <c r="D232" s="12"/>
      <c r="E232" s="12"/>
      <c r="F232" s="12"/>
      <c r="G232" s="12"/>
    </row>
    <row r="233" customFormat="false" ht="14.25" hidden="false" customHeight="true" outlineLevel="0" collapsed="false">
      <c r="B233" s="12"/>
      <c r="C233" s="12"/>
      <c r="D233" s="12"/>
      <c r="E233" s="12"/>
      <c r="F233" s="12"/>
      <c r="G233" s="12"/>
    </row>
    <row r="234" customFormat="false" ht="14.25" hidden="false" customHeight="true" outlineLevel="0" collapsed="false">
      <c r="B234" s="12"/>
      <c r="C234" s="12"/>
      <c r="D234" s="12"/>
      <c r="E234" s="12"/>
      <c r="F234" s="12"/>
      <c r="G234" s="12"/>
    </row>
    <row r="235" customFormat="false" ht="14.25" hidden="false" customHeight="true" outlineLevel="0" collapsed="false">
      <c r="B235" s="12"/>
      <c r="C235" s="12"/>
      <c r="D235" s="12"/>
      <c r="E235" s="12"/>
      <c r="F235" s="12"/>
      <c r="G235" s="12"/>
    </row>
    <row r="236" customFormat="false" ht="14.25" hidden="false" customHeight="true" outlineLevel="0" collapsed="false">
      <c r="B236" s="12"/>
      <c r="C236" s="12"/>
      <c r="D236" s="12"/>
      <c r="E236" s="12"/>
      <c r="F236" s="12"/>
      <c r="G236" s="12"/>
    </row>
    <row r="237" customFormat="false" ht="14.25" hidden="false" customHeight="true" outlineLevel="0" collapsed="false">
      <c r="B237" s="12"/>
      <c r="C237" s="12"/>
      <c r="D237" s="12"/>
      <c r="E237" s="12"/>
      <c r="F237" s="12"/>
      <c r="G237" s="12"/>
    </row>
    <row r="238" customFormat="false" ht="14.25" hidden="false" customHeight="true" outlineLevel="0" collapsed="false">
      <c r="B238" s="12"/>
      <c r="C238" s="12"/>
      <c r="D238" s="12"/>
      <c r="E238" s="12"/>
      <c r="F238" s="12"/>
      <c r="G238" s="12"/>
    </row>
    <row r="239" customFormat="false" ht="14.25" hidden="false" customHeight="true" outlineLevel="0" collapsed="false">
      <c r="B239" s="12"/>
      <c r="C239" s="12"/>
      <c r="D239" s="12"/>
      <c r="E239" s="12"/>
      <c r="F239" s="12"/>
      <c r="G239" s="12"/>
    </row>
    <row r="240" customFormat="false" ht="14.25" hidden="false" customHeight="true" outlineLevel="0" collapsed="false">
      <c r="B240" s="12"/>
      <c r="C240" s="12"/>
      <c r="D240" s="12"/>
      <c r="E240" s="12"/>
      <c r="F240" s="12"/>
      <c r="G240" s="12"/>
    </row>
    <row r="241" customFormat="false" ht="14.25" hidden="false" customHeight="true" outlineLevel="0" collapsed="false">
      <c r="B241" s="12"/>
      <c r="C241" s="12"/>
      <c r="D241" s="12"/>
      <c r="E241" s="12"/>
      <c r="F241" s="12"/>
      <c r="G241" s="12"/>
    </row>
    <row r="242" customFormat="false" ht="14.25" hidden="false" customHeight="true" outlineLevel="0" collapsed="false">
      <c r="B242" s="12"/>
      <c r="C242" s="12"/>
      <c r="D242" s="12"/>
      <c r="E242" s="12"/>
      <c r="F242" s="12"/>
      <c r="G242" s="12"/>
    </row>
    <row r="243" customFormat="false" ht="14.25" hidden="false" customHeight="true" outlineLevel="0" collapsed="false">
      <c r="B243" s="12"/>
      <c r="C243" s="12"/>
      <c r="D243" s="12"/>
      <c r="E243" s="12"/>
      <c r="F243" s="12"/>
      <c r="G243" s="12"/>
    </row>
    <row r="244" customFormat="false" ht="14.25" hidden="false" customHeight="true" outlineLevel="0" collapsed="false">
      <c r="B244" s="12"/>
      <c r="C244" s="12"/>
      <c r="D244" s="12"/>
      <c r="E244" s="12"/>
      <c r="F244" s="12"/>
      <c r="G244" s="12"/>
    </row>
    <row r="245" customFormat="false" ht="14.25" hidden="false" customHeight="true" outlineLevel="0" collapsed="false">
      <c r="B245" s="12"/>
      <c r="C245" s="12"/>
      <c r="D245" s="12"/>
      <c r="E245" s="12"/>
      <c r="F245" s="12"/>
      <c r="G245" s="12"/>
    </row>
    <row r="246" customFormat="false" ht="14.25" hidden="false" customHeight="true" outlineLevel="0" collapsed="false">
      <c r="B246" s="12"/>
      <c r="C246" s="12"/>
      <c r="D246" s="12"/>
      <c r="E246" s="12"/>
      <c r="F246" s="12"/>
      <c r="G246" s="12"/>
    </row>
    <row r="247" customFormat="false" ht="14.25" hidden="false" customHeight="true" outlineLevel="0" collapsed="false">
      <c r="B247" s="12"/>
      <c r="C247" s="12"/>
      <c r="D247" s="12"/>
      <c r="E247" s="12"/>
      <c r="F247" s="12"/>
      <c r="G247" s="12"/>
    </row>
    <row r="248" customFormat="false" ht="14.25" hidden="false" customHeight="true" outlineLevel="0" collapsed="false">
      <c r="B248" s="12"/>
      <c r="C248" s="12"/>
      <c r="D248" s="12"/>
      <c r="E248" s="12"/>
      <c r="F248" s="12"/>
      <c r="G248" s="12"/>
    </row>
    <row r="249" customFormat="false" ht="14.25" hidden="false" customHeight="true" outlineLevel="0" collapsed="false">
      <c r="B249" s="12"/>
      <c r="C249" s="12"/>
      <c r="D249" s="12"/>
      <c r="E249" s="12"/>
      <c r="F249" s="12"/>
      <c r="G249" s="12"/>
    </row>
    <row r="250" customFormat="false" ht="14.25" hidden="false" customHeight="true" outlineLevel="0" collapsed="false">
      <c r="B250" s="12"/>
      <c r="C250" s="12"/>
      <c r="D250" s="12"/>
      <c r="E250" s="12"/>
      <c r="F250" s="12"/>
      <c r="G250" s="12"/>
    </row>
    <row r="251" customFormat="false" ht="14.25" hidden="false" customHeight="true" outlineLevel="0" collapsed="false">
      <c r="B251" s="12"/>
      <c r="C251" s="12"/>
      <c r="D251" s="12"/>
      <c r="E251" s="12"/>
      <c r="F251" s="12"/>
      <c r="G251" s="12"/>
    </row>
    <row r="252" customFormat="false" ht="14.25" hidden="false" customHeight="true" outlineLevel="0" collapsed="false">
      <c r="B252" s="12"/>
      <c r="C252" s="12"/>
      <c r="D252" s="12"/>
      <c r="E252" s="12"/>
      <c r="F252" s="12"/>
      <c r="G252" s="12"/>
    </row>
    <row r="253" customFormat="false" ht="14.25" hidden="false" customHeight="true" outlineLevel="0" collapsed="false">
      <c r="B253" s="12"/>
      <c r="C253" s="12"/>
      <c r="D253" s="12"/>
      <c r="E253" s="12"/>
      <c r="F253" s="12"/>
      <c r="G253" s="12"/>
    </row>
    <row r="254" customFormat="false" ht="14.25" hidden="false" customHeight="true" outlineLevel="0" collapsed="false">
      <c r="B254" s="12"/>
      <c r="C254" s="12"/>
      <c r="D254" s="12"/>
      <c r="E254" s="12"/>
      <c r="F254" s="12"/>
      <c r="G254" s="12"/>
    </row>
    <row r="255" customFormat="false" ht="14.25" hidden="false" customHeight="true" outlineLevel="0" collapsed="false">
      <c r="B255" s="12"/>
      <c r="C255" s="12"/>
      <c r="D255" s="12"/>
      <c r="E255" s="12"/>
      <c r="F255" s="12"/>
      <c r="G255" s="12"/>
    </row>
    <row r="256" customFormat="false" ht="14.25" hidden="false" customHeight="true" outlineLevel="0" collapsed="false">
      <c r="B256" s="12"/>
      <c r="C256" s="12"/>
      <c r="D256" s="12"/>
      <c r="E256" s="12"/>
      <c r="F256" s="12"/>
      <c r="G256" s="12"/>
    </row>
    <row r="257" customFormat="false" ht="14.25" hidden="false" customHeight="true" outlineLevel="0" collapsed="false">
      <c r="B257" s="12"/>
      <c r="C257" s="12"/>
      <c r="D257" s="12"/>
      <c r="E257" s="12"/>
      <c r="F257" s="12"/>
      <c r="G257" s="12"/>
    </row>
    <row r="258" customFormat="false" ht="14.25" hidden="false" customHeight="true" outlineLevel="0" collapsed="false">
      <c r="B258" s="12"/>
      <c r="C258" s="12"/>
      <c r="D258" s="12"/>
      <c r="E258" s="12"/>
      <c r="F258" s="12"/>
      <c r="G258" s="12"/>
    </row>
    <row r="259" customFormat="false" ht="14.25" hidden="false" customHeight="true" outlineLevel="0" collapsed="false">
      <c r="B259" s="12"/>
      <c r="C259" s="12"/>
      <c r="D259" s="12"/>
      <c r="E259" s="12"/>
      <c r="F259" s="12"/>
      <c r="G259" s="12"/>
    </row>
    <row r="260" customFormat="false" ht="14.25" hidden="false" customHeight="true" outlineLevel="0" collapsed="false">
      <c r="B260" s="12"/>
      <c r="C260" s="12"/>
      <c r="D260" s="12"/>
      <c r="E260" s="12"/>
      <c r="F260" s="12"/>
      <c r="G260" s="12"/>
    </row>
    <row r="261" customFormat="false" ht="14.25" hidden="false" customHeight="true" outlineLevel="0" collapsed="false">
      <c r="B261" s="12"/>
      <c r="C261" s="12"/>
      <c r="D261" s="12"/>
      <c r="E261" s="12"/>
      <c r="F261" s="12"/>
      <c r="G261" s="12"/>
    </row>
    <row r="262" customFormat="false" ht="14.25" hidden="false" customHeight="true" outlineLevel="0" collapsed="false">
      <c r="B262" s="12"/>
      <c r="C262" s="12"/>
      <c r="D262" s="12"/>
      <c r="E262" s="12"/>
      <c r="F262" s="12"/>
      <c r="G262" s="12"/>
    </row>
    <row r="263" customFormat="false" ht="14.25" hidden="false" customHeight="true" outlineLevel="0" collapsed="false">
      <c r="B263" s="12"/>
      <c r="C263" s="12"/>
      <c r="D263" s="12"/>
      <c r="E263" s="12"/>
      <c r="F263" s="12"/>
      <c r="G263" s="12"/>
    </row>
    <row r="264" customFormat="false" ht="14.25" hidden="false" customHeight="true" outlineLevel="0" collapsed="false">
      <c r="B264" s="12"/>
      <c r="C264" s="12"/>
      <c r="D264" s="12"/>
      <c r="E264" s="12"/>
      <c r="F264" s="12"/>
      <c r="G264" s="12"/>
    </row>
    <row r="265" customFormat="false" ht="14.25" hidden="false" customHeight="true" outlineLevel="0" collapsed="false">
      <c r="B265" s="12"/>
      <c r="C265" s="12"/>
      <c r="D265" s="12"/>
      <c r="E265" s="12"/>
      <c r="F265" s="12"/>
      <c r="G265" s="12"/>
    </row>
    <row r="266" customFormat="false" ht="14.25" hidden="false" customHeight="true" outlineLevel="0" collapsed="false">
      <c r="B266" s="12"/>
      <c r="C266" s="12"/>
      <c r="D266" s="12"/>
      <c r="E266" s="12"/>
      <c r="F266" s="12"/>
      <c r="G266" s="12"/>
    </row>
    <row r="267" customFormat="false" ht="14.25" hidden="false" customHeight="true" outlineLevel="0" collapsed="false">
      <c r="B267" s="12"/>
      <c r="C267" s="12"/>
      <c r="D267" s="12"/>
      <c r="E267" s="12"/>
      <c r="F267" s="12"/>
      <c r="G267" s="12"/>
    </row>
    <row r="268" customFormat="false" ht="14.25" hidden="false" customHeight="true" outlineLevel="0" collapsed="false">
      <c r="B268" s="12"/>
      <c r="C268" s="12"/>
      <c r="D268" s="12"/>
      <c r="E268" s="12"/>
      <c r="F268" s="12"/>
      <c r="G268" s="12"/>
    </row>
    <row r="269" customFormat="false" ht="14.25" hidden="false" customHeight="true" outlineLevel="0" collapsed="false">
      <c r="B269" s="12"/>
      <c r="C269" s="12"/>
      <c r="D269" s="12"/>
      <c r="E269" s="12"/>
      <c r="F269" s="12"/>
      <c r="G269" s="12"/>
    </row>
    <row r="270" customFormat="false" ht="14.25" hidden="false" customHeight="true" outlineLevel="0" collapsed="false">
      <c r="B270" s="12"/>
      <c r="C270" s="12"/>
      <c r="D270" s="12"/>
      <c r="E270" s="12"/>
      <c r="F270" s="12"/>
      <c r="G270" s="12"/>
    </row>
    <row r="271" customFormat="false" ht="14.25" hidden="false" customHeight="true" outlineLevel="0" collapsed="false">
      <c r="B271" s="12"/>
      <c r="C271" s="12"/>
      <c r="D271" s="12"/>
      <c r="E271" s="12"/>
      <c r="F271" s="12"/>
      <c r="G271" s="12"/>
    </row>
    <row r="272" customFormat="false" ht="14.25" hidden="false" customHeight="true" outlineLevel="0" collapsed="false">
      <c r="B272" s="12"/>
      <c r="C272" s="12"/>
      <c r="D272" s="12"/>
      <c r="E272" s="12"/>
      <c r="F272" s="12"/>
      <c r="G272" s="12"/>
    </row>
    <row r="273" customFormat="false" ht="14.25" hidden="false" customHeight="true" outlineLevel="0" collapsed="false">
      <c r="B273" s="12"/>
      <c r="C273" s="12"/>
      <c r="D273" s="12"/>
      <c r="E273" s="12"/>
      <c r="F273" s="12"/>
      <c r="G273" s="12"/>
    </row>
    <row r="274" customFormat="false" ht="14.25" hidden="false" customHeight="true" outlineLevel="0" collapsed="false">
      <c r="B274" s="12"/>
      <c r="C274" s="12"/>
      <c r="D274" s="12"/>
      <c r="E274" s="12"/>
      <c r="F274" s="12"/>
      <c r="G274" s="12"/>
    </row>
    <row r="275" customFormat="false" ht="14.25" hidden="false" customHeight="true" outlineLevel="0" collapsed="false">
      <c r="B275" s="12"/>
      <c r="C275" s="12"/>
      <c r="D275" s="12"/>
      <c r="E275" s="12"/>
      <c r="F275" s="12"/>
      <c r="G275" s="12"/>
    </row>
    <row r="276" customFormat="false" ht="14.25" hidden="false" customHeight="true" outlineLevel="0" collapsed="false">
      <c r="B276" s="12"/>
      <c r="C276" s="12"/>
      <c r="D276" s="12"/>
      <c r="E276" s="12"/>
      <c r="F276" s="12"/>
      <c r="G276" s="12"/>
    </row>
    <row r="277" customFormat="false" ht="14.25" hidden="false" customHeight="true" outlineLevel="0" collapsed="false">
      <c r="B277" s="12"/>
      <c r="C277" s="12"/>
      <c r="D277" s="12"/>
      <c r="E277" s="12"/>
      <c r="F277" s="12"/>
      <c r="G277" s="12"/>
    </row>
    <row r="278" customFormat="false" ht="14.25" hidden="false" customHeight="true" outlineLevel="0" collapsed="false">
      <c r="B278" s="12"/>
      <c r="C278" s="12"/>
      <c r="D278" s="12"/>
      <c r="E278" s="12"/>
      <c r="F278" s="12"/>
      <c r="G278" s="12"/>
    </row>
    <row r="279" customFormat="false" ht="14.25" hidden="false" customHeight="true" outlineLevel="0" collapsed="false">
      <c r="B279" s="12"/>
      <c r="C279" s="12"/>
      <c r="D279" s="12"/>
      <c r="E279" s="12"/>
      <c r="F279" s="12"/>
      <c r="G279" s="12"/>
    </row>
    <row r="280" customFormat="false" ht="14.25" hidden="false" customHeight="true" outlineLevel="0" collapsed="false">
      <c r="B280" s="12"/>
      <c r="C280" s="12"/>
      <c r="D280" s="12"/>
      <c r="E280" s="12"/>
      <c r="F280" s="12"/>
      <c r="G280" s="12"/>
    </row>
    <row r="281" customFormat="false" ht="14.25" hidden="false" customHeight="true" outlineLevel="0" collapsed="false">
      <c r="B281" s="12"/>
      <c r="C281" s="12"/>
      <c r="D281" s="12"/>
      <c r="E281" s="12"/>
      <c r="F281" s="12"/>
      <c r="G281" s="12"/>
    </row>
    <row r="282" customFormat="false" ht="14.25" hidden="false" customHeight="true" outlineLevel="0" collapsed="false">
      <c r="B282" s="12"/>
      <c r="C282" s="12"/>
      <c r="D282" s="12"/>
      <c r="E282" s="12"/>
      <c r="F282" s="12"/>
      <c r="G282" s="12"/>
    </row>
    <row r="283" customFormat="false" ht="14.25" hidden="false" customHeight="true" outlineLevel="0" collapsed="false">
      <c r="B283" s="12"/>
      <c r="C283" s="12"/>
      <c r="D283" s="12"/>
      <c r="E283" s="12"/>
      <c r="F283" s="12"/>
      <c r="G283" s="12"/>
    </row>
    <row r="284" customFormat="false" ht="14.25" hidden="false" customHeight="true" outlineLevel="0" collapsed="false">
      <c r="B284" s="12"/>
      <c r="C284" s="12"/>
      <c r="D284" s="12"/>
      <c r="E284" s="12"/>
      <c r="F284" s="12"/>
      <c r="G284" s="12"/>
    </row>
    <row r="285" customFormat="false" ht="14.25" hidden="false" customHeight="true" outlineLevel="0" collapsed="false">
      <c r="B285" s="12"/>
      <c r="C285" s="12"/>
      <c r="D285" s="12"/>
      <c r="E285" s="12"/>
      <c r="F285" s="12"/>
      <c r="G285" s="12"/>
    </row>
    <row r="286" customFormat="false" ht="14.25" hidden="false" customHeight="true" outlineLevel="0" collapsed="false">
      <c r="B286" s="12"/>
      <c r="C286" s="12"/>
      <c r="D286" s="12"/>
      <c r="E286" s="12"/>
      <c r="F286" s="12"/>
      <c r="G286" s="12"/>
    </row>
    <row r="287" customFormat="false" ht="14.25" hidden="false" customHeight="true" outlineLevel="0" collapsed="false">
      <c r="B287" s="12"/>
      <c r="C287" s="12"/>
      <c r="D287" s="12"/>
      <c r="E287" s="12"/>
      <c r="F287" s="12"/>
      <c r="G287" s="12"/>
    </row>
    <row r="288" customFormat="false" ht="14.25" hidden="false" customHeight="true" outlineLevel="0" collapsed="false">
      <c r="B288" s="12"/>
      <c r="C288" s="12"/>
      <c r="D288" s="12"/>
      <c r="E288" s="12"/>
      <c r="F288" s="12"/>
      <c r="G288" s="12"/>
    </row>
    <row r="289" customFormat="false" ht="14.25" hidden="false" customHeight="true" outlineLevel="0" collapsed="false">
      <c r="B289" s="12"/>
      <c r="C289" s="12"/>
      <c r="D289" s="12"/>
      <c r="E289" s="12"/>
      <c r="F289" s="12"/>
      <c r="G289" s="12"/>
    </row>
    <row r="290" customFormat="false" ht="14.25" hidden="false" customHeight="true" outlineLevel="0" collapsed="false">
      <c r="B290" s="12"/>
      <c r="C290" s="12"/>
      <c r="D290" s="12"/>
      <c r="E290" s="12"/>
      <c r="F290" s="12"/>
      <c r="G290" s="12"/>
    </row>
    <row r="291" customFormat="false" ht="14.25" hidden="false" customHeight="true" outlineLevel="0" collapsed="false">
      <c r="B291" s="12"/>
      <c r="C291" s="12"/>
      <c r="D291" s="12"/>
      <c r="E291" s="12"/>
      <c r="F291" s="12"/>
      <c r="G291" s="12"/>
    </row>
    <row r="292" customFormat="false" ht="14.25" hidden="false" customHeight="true" outlineLevel="0" collapsed="false">
      <c r="B292" s="12"/>
      <c r="C292" s="12"/>
      <c r="D292" s="12"/>
      <c r="E292" s="12"/>
      <c r="F292" s="12"/>
      <c r="G292" s="12"/>
    </row>
    <row r="293" customFormat="false" ht="14.25" hidden="false" customHeight="true" outlineLevel="0" collapsed="false">
      <c r="B293" s="12"/>
      <c r="C293" s="12"/>
      <c r="D293" s="12"/>
      <c r="E293" s="12"/>
      <c r="F293" s="12"/>
      <c r="G293" s="12"/>
    </row>
    <row r="294" customFormat="false" ht="14.25" hidden="false" customHeight="true" outlineLevel="0" collapsed="false">
      <c r="B294" s="12"/>
      <c r="C294" s="12"/>
      <c r="D294" s="12"/>
      <c r="E294" s="12"/>
      <c r="F294" s="12"/>
      <c r="G294" s="12"/>
    </row>
    <row r="295" customFormat="false" ht="14.25" hidden="false" customHeight="true" outlineLevel="0" collapsed="false">
      <c r="B295" s="12"/>
      <c r="C295" s="12"/>
      <c r="D295" s="12"/>
      <c r="E295" s="12"/>
      <c r="F295" s="12"/>
      <c r="G295" s="12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44.82"/>
    <col collapsed="false" customWidth="true" hidden="false" outlineLevel="0" max="2" min="2" style="1" width="13.73"/>
    <col collapsed="false" customWidth="true" hidden="false" outlineLevel="0" max="3" min="3" style="1" width="6.06"/>
    <col collapsed="false" customWidth="true" hidden="false" outlineLevel="0" max="4" min="4" style="1" width="16.96"/>
    <col collapsed="false" customWidth="true" hidden="false" outlineLevel="0" max="5" min="5" style="1" width="14.27"/>
    <col collapsed="false" customWidth="true" hidden="false" outlineLevel="0" max="6" min="6" style="1" width="16.43"/>
    <col collapsed="false" customWidth="true" hidden="false" outlineLevel="0" max="7" min="7" style="1" width="48.06"/>
    <col collapsed="false" customWidth="true" hidden="false" outlineLevel="0" max="8" min="8" style="1" width="11.84"/>
    <col collapsed="false" customWidth="true" hidden="false" outlineLevel="0" max="9" min="9" style="1" width="101.48"/>
    <col collapsed="false" customWidth="true" hidden="false" outlineLevel="0" max="10" min="10" style="1" width="38.21"/>
    <col collapsed="false" customWidth="true" hidden="false" outlineLevel="0" max="11" min="11" style="1" width="45"/>
    <col collapsed="false" customWidth="true" hidden="false" outlineLevel="0" max="12" min="12" style="1" width="25"/>
  </cols>
  <sheetData>
    <row r="1" customFormat="false" ht="18" hidden="false" customHeight="true" outlineLevel="0" collapsed="false">
      <c r="A1" s="15" t="s">
        <v>189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4.25" hidden="false" customHeight="true" outlineLevel="0" collapsed="false">
      <c r="A2" s="16" t="s">
        <v>190</v>
      </c>
      <c r="B2" s="16"/>
      <c r="C2" s="16"/>
      <c r="D2" s="16"/>
      <c r="E2" s="16"/>
      <c r="F2" s="16"/>
      <c r="G2" s="16"/>
      <c r="H2" s="16"/>
      <c r="I2" s="16"/>
      <c r="J2" s="17"/>
      <c r="K2" s="17"/>
      <c r="L2" s="17"/>
    </row>
    <row r="3" customFormat="false" ht="15" hidden="false" customHeight="true" outlineLevel="0" collapsed="false">
      <c r="A3" s="18" t="s">
        <v>2</v>
      </c>
      <c r="B3" s="18" t="s">
        <v>191</v>
      </c>
      <c r="C3" s="18" t="s">
        <v>182</v>
      </c>
      <c r="D3" s="18" t="s">
        <v>192</v>
      </c>
      <c r="E3" s="18" t="s">
        <v>193</v>
      </c>
      <c r="F3" s="18" t="s">
        <v>194</v>
      </c>
      <c r="G3" s="18" t="s">
        <v>139</v>
      </c>
      <c r="H3" s="18" t="s">
        <v>140</v>
      </c>
      <c r="I3" s="18" t="s">
        <v>13</v>
      </c>
      <c r="J3" s="19" t="s">
        <v>195</v>
      </c>
      <c r="K3" s="20"/>
      <c r="L3" s="20"/>
    </row>
    <row r="4" customFormat="false" ht="28.5" hidden="false" customHeight="true" outlineLevel="0" collapsed="false">
      <c r="A4" s="5" t="s">
        <v>23</v>
      </c>
      <c r="B4" s="9" t="n">
        <v>1250</v>
      </c>
      <c r="C4" s="9" t="n">
        <v>62.34</v>
      </c>
      <c r="D4" s="9" t="n">
        <v>2400</v>
      </c>
      <c r="E4" s="9" t="n">
        <f aca="false">B4/D4</f>
        <v>0.520833333333333</v>
      </c>
      <c r="F4" s="9" t="n">
        <f aca="false">C4/D4</f>
        <v>0.025975</v>
      </c>
      <c r="G4" s="9" t="s">
        <v>196</v>
      </c>
      <c r="H4" s="9" t="s">
        <v>197</v>
      </c>
      <c r="I4" s="5" t="s">
        <v>198</v>
      </c>
      <c r="J4" s="5" t="s">
        <v>199</v>
      </c>
      <c r="K4" s="5"/>
      <c r="L4" s="5"/>
    </row>
    <row r="5" customFormat="false" ht="27.75" hidden="false" customHeight="true" outlineLevel="0" collapsed="false">
      <c r="A5" s="5" t="s">
        <v>14</v>
      </c>
      <c r="B5" s="9" t="n">
        <v>2160</v>
      </c>
      <c r="C5" s="9" t="n">
        <v>79.683</v>
      </c>
      <c r="D5" s="9" t="n">
        <v>2240</v>
      </c>
      <c r="E5" s="9" t="n">
        <f aca="false">B5/D5</f>
        <v>0.964285714285714</v>
      </c>
      <c r="F5" s="9" t="n">
        <f aca="false">C5/D5</f>
        <v>0.0355727678571429</v>
      </c>
      <c r="G5" s="9" t="s">
        <v>197</v>
      </c>
      <c r="H5" s="9" t="s">
        <v>197</v>
      </c>
      <c r="I5" s="5" t="s">
        <v>200</v>
      </c>
      <c r="J5" s="5" t="s">
        <v>199</v>
      </c>
      <c r="K5" s="5"/>
      <c r="L5" s="5"/>
    </row>
    <row r="6" customFormat="false" ht="14.2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4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</row>
    <row r="8" customFormat="false" ht="14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</row>
    <row r="9" customFormat="false" ht="14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</row>
    <row r="10" customFormat="false" ht="14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4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4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4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14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4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14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4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4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4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14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</row>
  </sheetData>
  <mergeCells count="2">
    <mergeCell ref="A1:L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2"/>
    <col collapsed="false" customWidth="true" hidden="false" outlineLevel="0" max="5" min="5" style="1" width="52"/>
  </cols>
  <sheetData>
    <row r="1" customFormat="false" ht="27.75" hidden="false" customHeight="true" outlineLevel="0" collapsed="false">
      <c r="A1" s="21" t="s">
        <v>201</v>
      </c>
      <c r="B1" s="21"/>
      <c r="C1" s="21"/>
      <c r="D1" s="21"/>
      <c r="E1" s="21"/>
    </row>
    <row r="2" customFormat="false" ht="42" hidden="false" customHeight="true" outlineLevel="0" collapsed="false">
      <c r="A2" s="3" t="s">
        <v>202</v>
      </c>
      <c r="B2" s="3"/>
      <c r="C2" s="3"/>
      <c r="D2" s="3"/>
      <c r="E2" s="3"/>
    </row>
    <row r="3" customFormat="false" ht="30" hidden="false" customHeight="true" outlineLevel="0" collapsed="false">
      <c r="A3" s="4" t="s">
        <v>203</v>
      </c>
      <c r="B3" s="4" t="s">
        <v>204</v>
      </c>
      <c r="C3" s="4" t="s">
        <v>205</v>
      </c>
      <c r="D3" s="4" t="s">
        <v>206</v>
      </c>
      <c r="E3" s="4" t="s">
        <v>13</v>
      </c>
      <c r="F3" s="6" t="s">
        <v>207</v>
      </c>
    </row>
    <row r="4" customFormat="false" ht="33.75" hidden="false" customHeight="true" outlineLevel="0" collapsed="false">
      <c r="A4" s="5" t="s">
        <v>208</v>
      </c>
      <c r="B4" s="9" t="n">
        <v>60</v>
      </c>
      <c r="C4" s="9" t="n">
        <v>4.56</v>
      </c>
      <c r="D4" s="9" t="n">
        <v>30</v>
      </c>
      <c r="E4" s="5" t="s">
        <v>209</v>
      </c>
      <c r="F4" s="6" t="n">
        <v>0.152</v>
      </c>
    </row>
    <row r="5" customFormat="false" ht="14.25" hidden="false" customHeight="true" outlineLevel="0" collapsed="false">
      <c r="B5" s="12"/>
      <c r="C5" s="12"/>
      <c r="D5" s="12"/>
    </row>
    <row r="6" customFormat="false" ht="14.25" hidden="false" customHeight="true" outlineLevel="0" collapsed="false">
      <c r="B6" s="12"/>
      <c r="C6" s="12"/>
      <c r="D6" s="12"/>
    </row>
    <row r="7" customFormat="false" ht="14.25" hidden="false" customHeight="true" outlineLevel="0" collapsed="false">
      <c r="B7" s="12"/>
      <c r="C7" s="12"/>
      <c r="D7" s="12"/>
    </row>
    <row r="8" customFormat="false" ht="14.25" hidden="false" customHeight="true" outlineLevel="0" collapsed="false">
      <c r="B8" s="12"/>
      <c r="C8" s="12"/>
      <c r="D8" s="12"/>
    </row>
    <row r="9" customFormat="false" ht="14.25" hidden="false" customHeight="true" outlineLevel="0" collapsed="false">
      <c r="B9" s="12"/>
      <c r="C9" s="12"/>
      <c r="D9" s="12"/>
    </row>
    <row r="10" customFormat="false" ht="14.25" hidden="false" customHeight="true" outlineLevel="0" collapsed="false">
      <c r="B10" s="12"/>
      <c r="C10" s="12"/>
      <c r="D10" s="12"/>
    </row>
    <row r="11" customFormat="false" ht="14.25" hidden="false" customHeight="true" outlineLevel="0" collapsed="false">
      <c r="B11" s="12"/>
      <c r="C11" s="12"/>
      <c r="D11" s="12"/>
    </row>
    <row r="12" customFormat="false" ht="14.25" hidden="false" customHeight="true" outlineLevel="0" collapsed="false">
      <c r="B12" s="12"/>
      <c r="C12" s="12"/>
      <c r="D12" s="12"/>
    </row>
    <row r="13" customFormat="false" ht="14.25" hidden="false" customHeight="true" outlineLevel="0" collapsed="false">
      <c r="B13" s="12"/>
      <c r="C13" s="12"/>
      <c r="D13" s="12"/>
    </row>
    <row r="14" customFormat="false" ht="14.25" hidden="false" customHeight="true" outlineLevel="0" collapsed="false">
      <c r="B14" s="12"/>
      <c r="C14" s="12"/>
      <c r="D14" s="12"/>
    </row>
    <row r="15" customFormat="false" ht="14.25" hidden="false" customHeight="true" outlineLevel="0" collapsed="false">
      <c r="B15" s="12"/>
      <c r="C15" s="12"/>
      <c r="D15" s="12"/>
    </row>
    <row r="16" customFormat="false" ht="14.25" hidden="false" customHeight="true" outlineLevel="0" collapsed="false">
      <c r="B16" s="12"/>
      <c r="C16" s="12"/>
      <c r="D16" s="12"/>
    </row>
    <row r="17" customFormat="false" ht="14.25" hidden="false" customHeight="true" outlineLevel="0" collapsed="false">
      <c r="B17" s="12"/>
      <c r="C17" s="12"/>
      <c r="D17" s="12"/>
    </row>
    <row r="18" customFormat="false" ht="14.25" hidden="false" customHeight="true" outlineLevel="0" collapsed="false">
      <c r="B18" s="12"/>
      <c r="C18" s="12"/>
      <c r="D18" s="12"/>
    </row>
    <row r="19" customFormat="false" ht="14.25" hidden="false" customHeight="true" outlineLevel="0" collapsed="false">
      <c r="B19" s="12"/>
      <c r="C19" s="12"/>
      <c r="D19" s="12"/>
    </row>
    <row r="20" customFormat="false" ht="14.25" hidden="false" customHeight="true" outlineLevel="0" collapsed="false">
      <c r="B20" s="12"/>
      <c r="C20" s="12"/>
      <c r="D20" s="12"/>
    </row>
    <row r="21" customFormat="false" ht="14.25" hidden="false" customHeight="true" outlineLevel="0" collapsed="false">
      <c r="B21" s="12"/>
      <c r="C21" s="12"/>
      <c r="D21" s="12"/>
    </row>
    <row r="22" customFormat="false" ht="14.25" hidden="false" customHeight="true" outlineLevel="0" collapsed="false">
      <c r="B22" s="12"/>
      <c r="C22" s="12"/>
      <c r="D22" s="12"/>
    </row>
    <row r="23" customFormat="false" ht="14.25" hidden="false" customHeight="true" outlineLevel="0" collapsed="false">
      <c r="B23" s="12"/>
      <c r="C23" s="12"/>
      <c r="D23" s="12"/>
    </row>
    <row r="24" customFormat="false" ht="14.25" hidden="false" customHeight="true" outlineLevel="0" collapsed="false">
      <c r="B24" s="12"/>
      <c r="C24" s="12"/>
      <c r="D24" s="12"/>
    </row>
    <row r="25" customFormat="false" ht="14.25" hidden="false" customHeight="true" outlineLevel="0" collapsed="false">
      <c r="B25" s="12"/>
      <c r="C25" s="12"/>
      <c r="D25" s="12"/>
    </row>
    <row r="26" customFormat="false" ht="14.25" hidden="false" customHeight="true" outlineLevel="0" collapsed="false">
      <c r="B26" s="12"/>
      <c r="C26" s="12"/>
      <c r="D26" s="12"/>
    </row>
    <row r="27" customFormat="false" ht="14.25" hidden="false" customHeight="true" outlineLevel="0" collapsed="false">
      <c r="B27" s="12"/>
      <c r="C27" s="12"/>
      <c r="D27" s="12"/>
    </row>
    <row r="28" customFormat="false" ht="14.25" hidden="false" customHeight="true" outlineLevel="0" collapsed="false">
      <c r="B28" s="12"/>
      <c r="C28" s="12"/>
      <c r="D28" s="12"/>
    </row>
    <row r="29" customFormat="false" ht="14.25" hidden="false" customHeight="true" outlineLevel="0" collapsed="false">
      <c r="B29" s="12"/>
      <c r="C29" s="12"/>
      <c r="D29" s="12"/>
    </row>
    <row r="30" customFormat="false" ht="14.25" hidden="false" customHeight="true" outlineLevel="0" collapsed="false">
      <c r="B30" s="12"/>
      <c r="C30" s="12"/>
      <c r="D30" s="12"/>
    </row>
    <row r="31" customFormat="false" ht="14.25" hidden="false" customHeight="true" outlineLevel="0" collapsed="false">
      <c r="B31" s="12"/>
      <c r="C31" s="12"/>
      <c r="D31" s="12"/>
    </row>
    <row r="32" customFormat="false" ht="14.25" hidden="false" customHeight="true" outlineLevel="0" collapsed="false">
      <c r="B32" s="12"/>
      <c r="C32" s="12"/>
      <c r="D32" s="12"/>
    </row>
    <row r="33" customFormat="false" ht="14.25" hidden="false" customHeight="true" outlineLevel="0" collapsed="false">
      <c r="B33" s="12"/>
      <c r="C33" s="12"/>
      <c r="D33" s="12"/>
    </row>
    <row r="34" customFormat="false" ht="14.25" hidden="false" customHeight="true" outlineLevel="0" collapsed="false">
      <c r="B34" s="12"/>
      <c r="C34" s="12"/>
      <c r="D34" s="12"/>
    </row>
    <row r="35" customFormat="false" ht="14.25" hidden="false" customHeight="true" outlineLevel="0" collapsed="false">
      <c r="B35" s="12"/>
      <c r="C35" s="12"/>
      <c r="D35" s="12"/>
    </row>
    <row r="36" customFormat="false" ht="14.25" hidden="false" customHeight="true" outlineLevel="0" collapsed="false">
      <c r="B36" s="12"/>
      <c r="C36" s="12"/>
      <c r="D36" s="12"/>
    </row>
    <row r="37" customFormat="false" ht="14.25" hidden="false" customHeight="true" outlineLevel="0" collapsed="false">
      <c r="B37" s="12"/>
      <c r="C37" s="12"/>
      <c r="D37" s="12"/>
    </row>
    <row r="38" customFormat="false" ht="14.25" hidden="false" customHeight="true" outlineLevel="0" collapsed="false">
      <c r="B38" s="12"/>
      <c r="C38" s="12"/>
      <c r="D38" s="12"/>
    </row>
    <row r="39" customFormat="false" ht="14.25" hidden="false" customHeight="true" outlineLevel="0" collapsed="false">
      <c r="B39" s="12"/>
      <c r="C39" s="12"/>
      <c r="D39" s="12"/>
    </row>
    <row r="40" customFormat="false" ht="14.25" hidden="false" customHeight="true" outlineLevel="0" collapsed="false">
      <c r="B40" s="12"/>
      <c r="C40" s="12"/>
      <c r="D40" s="12"/>
    </row>
    <row r="41" customFormat="false" ht="14.25" hidden="false" customHeight="true" outlineLevel="0" collapsed="false">
      <c r="B41" s="12"/>
      <c r="C41" s="12"/>
      <c r="D41" s="12"/>
    </row>
    <row r="42" customFormat="false" ht="14.25" hidden="false" customHeight="true" outlineLevel="0" collapsed="false">
      <c r="B42" s="12"/>
      <c r="C42" s="12"/>
      <c r="D42" s="12"/>
    </row>
    <row r="43" customFormat="false" ht="14.25" hidden="false" customHeight="true" outlineLevel="0" collapsed="false">
      <c r="B43" s="12"/>
      <c r="C43" s="12"/>
      <c r="D43" s="12"/>
    </row>
    <row r="44" customFormat="false" ht="14.25" hidden="false" customHeight="true" outlineLevel="0" collapsed="false">
      <c r="B44" s="12"/>
      <c r="C44" s="12"/>
      <c r="D44" s="12"/>
    </row>
    <row r="45" customFormat="false" ht="14.25" hidden="false" customHeight="true" outlineLevel="0" collapsed="false">
      <c r="B45" s="12"/>
      <c r="C45" s="12"/>
      <c r="D45" s="12"/>
    </row>
    <row r="46" customFormat="false" ht="14.25" hidden="false" customHeight="true" outlineLevel="0" collapsed="false">
      <c r="B46" s="12"/>
      <c r="C46" s="12"/>
      <c r="D46" s="12"/>
    </row>
    <row r="47" customFormat="false" ht="14.25" hidden="false" customHeight="true" outlineLevel="0" collapsed="false">
      <c r="B47" s="12"/>
      <c r="C47" s="12"/>
      <c r="D47" s="12"/>
    </row>
    <row r="48" customFormat="false" ht="14.25" hidden="false" customHeight="true" outlineLevel="0" collapsed="false">
      <c r="B48" s="12"/>
      <c r="C48" s="12"/>
      <c r="D48" s="12"/>
    </row>
    <row r="49" customFormat="false" ht="14.25" hidden="false" customHeight="true" outlineLevel="0" collapsed="false">
      <c r="B49" s="12"/>
      <c r="C49" s="12"/>
      <c r="D49" s="12"/>
    </row>
    <row r="50" customFormat="false" ht="14.25" hidden="false" customHeight="true" outlineLevel="0" collapsed="false">
      <c r="B50" s="12"/>
      <c r="C50" s="12"/>
      <c r="D50" s="12"/>
    </row>
    <row r="51" customFormat="false" ht="14.25" hidden="false" customHeight="true" outlineLevel="0" collapsed="false">
      <c r="B51" s="12"/>
      <c r="C51" s="12"/>
      <c r="D51" s="12"/>
    </row>
    <row r="52" customFormat="false" ht="14.25" hidden="false" customHeight="true" outlineLevel="0" collapsed="false">
      <c r="B52" s="12"/>
      <c r="C52" s="12"/>
      <c r="D52" s="12"/>
    </row>
    <row r="53" customFormat="false" ht="14.25" hidden="false" customHeight="true" outlineLevel="0" collapsed="false">
      <c r="B53" s="12"/>
      <c r="C53" s="12"/>
      <c r="D53" s="12"/>
    </row>
    <row r="54" customFormat="false" ht="14.25" hidden="false" customHeight="true" outlineLevel="0" collapsed="false">
      <c r="B54" s="12"/>
      <c r="C54" s="12"/>
      <c r="D54" s="12"/>
    </row>
    <row r="55" customFormat="false" ht="14.25" hidden="false" customHeight="true" outlineLevel="0" collapsed="false">
      <c r="B55" s="12"/>
      <c r="C55" s="12"/>
      <c r="D55" s="12"/>
    </row>
    <row r="56" customFormat="false" ht="14.25" hidden="false" customHeight="true" outlineLevel="0" collapsed="false">
      <c r="B56" s="12"/>
      <c r="C56" s="12"/>
      <c r="D56" s="12"/>
    </row>
    <row r="57" customFormat="false" ht="14.25" hidden="false" customHeight="true" outlineLevel="0" collapsed="false">
      <c r="B57" s="12"/>
      <c r="C57" s="12"/>
      <c r="D57" s="12"/>
    </row>
    <row r="58" customFormat="false" ht="14.25" hidden="false" customHeight="true" outlineLevel="0" collapsed="false">
      <c r="B58" s="12"/>
      <c r="C58" s="12"/>
      <c r="D58" s="12"/>
    </row>
    <row r="59" customFormat="false" ht="14.25" hidden="false" customHeight="true" outlineLevel="0" collapsed="false">
      <c r="B59" s="12"/>
      <c r="C59" s="12"/>
      <c r="D59" s="12"/>
    </row>
    <row r="60" customFormat="false" ht="14.25" hidden="false" customHeight="true" outlineLevel="0" collapsed="false">
      <c r="B60" s="12"/>
      <c r="C60" s="12"/>
      <c r="D60" s="12"/>
    </row>
    <row r="61" customFormat="false" ht="14.25" hidden="false" customHeight="true" outlineLevel="0" collapsed="false">
      <c r="B61" s="12"/>
      <c r="C61" s="12"/>
      <c r="D61" s="12"/>
    </row>
    <row r="62" customFormat="false" ht="14.25" hidden="false" customHeight="true" outlineLevel="0" collapsed="false">
      <c r="B62" s="12"/>
      <c r="C62" s="12"/>
      <c r="D62" s="12"/>
    </row>
    <row r="63" customFormat="false" ht="14.25" hidden="false" customHeight="true" outlineLevel="0" collapsed="false">
      <c r="B63" s="12"/>
      <c r="C63" s="12"/>
      <c r="D63" s="12"/>
    </row>
    <row r="64" customFormat="false" ht="14.25" hidden="false" customHeight="true" outlineLevel="0" collapsed="false">
      <c r="B64" s="12"/>
      <c r="C64" s="12"/>
      <c r="D64" s="12"/>
    </row>
    <row r="65" customFormat="false" ht="14.25" hidden="false" customHeight="true" outlineLevel="0" collapsed="false">
      <c r="B65" s="12"/>
      <c r="C65" s="12"/>
      <c r="D65" s="12"/>
    </row>
    <row r="66" customFormat="false" ht="14.25" hidden="false" customHeight="true" outlineLevel="0" collapsed="false">
      <c r="B66" s="12"/>
      <c r="C66" s="12"/>
      <c r="D66" s="12"/>
    </row>
    <row r="67" customFormat="false" ht="14.25" hidden="false" customHeight="true" outlineLevel="0" collapsed="false">
      <c r="B67" s="12"/>
      <c r="C67" s="12"/>
      <c r="D67" s="12"/>
    </row>
    <row r="68" customFormat="false" ht="14.25" hidden="false" customHeight="true" outlineLevel="0" collapsed="false">
      <c r="B68" s="12"/>
      <c r="C68" s="12"/>
      <c r="D68" s="12"/>
    </row>
    <row r="69" customFormat="false" ht="14.25" hidden="false" customHeight="true" outlineLevel="0" collapsed="false">
      <c r="B69" s="12"/>
      <c r="C69" s="12"/>
      <c r="D69" s="12"/>
    </row>
    <row r="70" customFormat="false" ht="14.25" hidden="false" customHeight="true" outlineLevel="0" collapsed="false">
      <c r="B70" s="12"/>
      <c r="C70" s="12"/>
      <c r="D70" s="12"/>
    </row>
    <row r="71" customFormat="false" ht="14.25" hidden="false" customHeight="true" outlineLevel="0" collapsed="false">
      <c r="B71" s="12"/>
      <c r="C71" s="12"/>
      <c r="D71" s="12"/>
    </row>
    <row r="72" customFormat="false" ht="14.25" hidden="false" customHeight="true" outlineLevel="0" collapsed="false">
      <c r="B72" s="12"/>
      <c r="C72" s="12"/>
      <c r="D72" s="12"/>
    </row>
    <row r="73" customFormat="false" ht="14.25" hidden="false" customHeight="true" outlineLevel="0" collapsed="false">
      <c r="B73" s="12"/>
      <c r="C73" s="12"/>
      <c r="D73" s="12"/>
    </row>
    <row r="74" customFormat="false" ht="14.25" hidden="false" customHeight="true" outlineLevel="0" collapsed="false">
      <c r="B74" s="12"/>
      <c r="C74" s="12"/>
      <c r="D74" s="12"/>
    </row>
    <row r="75" customFormat="false" ht="14.25" hidden="false" customHeight="true" outlineLevel="0" collapsed="false">
      <c r="B75" s="12"/>
      <c r="C75" s="12"/>
      <c r="D75" s="12"/>
    </row>
    <row r="76" customFormat="false" ht="14.25" hidden="false" customHeight="true" outlineLevel="0" collapsed="false">
      <c r="B76" s="12"/>
      <c r="C76" s="12"/>
      <c r="D76" s="12"/>
    </row>
    <row r="77" customFormat="false" ht="14.25" hidden="false" customHeight="true" outlineLevel="0" collapsed="false">
      <c r="B77" s="12"/>
      <c r="C77" s="12"/>
      <c r="D77" s="12"/>
    </row>
    <row r="78" customFormat="false" ht="14.25" hidden="false" customHeight="true" outlineLevel="0" collapsed="false">
      <c r="B78" s="12"/>
      <c r="C78" s="12"/>
      <c r="D78" s="12"/>
    </row>
    <row r="79" customFormat="false" ht="14.25" hidden="false" customHeight="true" outlineLevel="0" collapsed="false">
      <c r="B79" s="12"/>
      <c r="C79" s="12"/>
      <c r="D79" s="12"/>
    </row>
    <row r="80" customFormat="false" ht="14.25" hidden="false" customHeight="true" outlineLevel="0" collapsed="false">
      <c r="B80" s="12"/>
      <c r="C80" s="12"/>
      <c r="D80" s="12"/>
    </row>
    <row r="81" customFormat="false" ht="14.25" hidden="false" customHeight="true" outlineLevel="0" collapsed="false">
      <c r="B81" s="12"/>
      <c r="C81" s="12"/>
      <c r="D81" s="12"/>
    </row>
    <row r="82" customFormat="false" ht="14.25" hidden="false" customHeight="true" outlineLevel="0" collapsed="false">
      <c r="B82" s="12"/>
      <c r="C82" s="12"/>
      <c r="D82" s="12"/>
    </row>
    <row r="83" customFormat="false" ht="14.25" hidden="false" customHeight="true" outlineLevel="0" collapsed="false">
      <c r="B83" s="12"/>
      <c r="C83" s="12"/>
      <c r="D83" s="12"/>
    </row>
    <row r="84" customFormat="false" ht="14.25" hidden="false" customHeight="true" outlineLevel="0" collapsed="false">
      <c r="B84" s="12"/>
      <c r="C84" s="12"/>
      <c r="D84" s="12"/>
    </row>
    <row r="85" customFormat="false" ht="14.25" hidden="false" customHeight="true" outlineLevel="0" collapsed="false">
      <c r="B85" s="12"/>
      <c r="C85" s="12"/>
      <c r="D85" s="12"/>
    </row>
    <row r="86" customFormat="false" ht="14.25" hidden="false" customHeight="true" outlineLevel="0" collapsed="false">
      <c r="B86" s="12"/>
      <c r="C86" s="12"/>
      <c r="D86" s="12"/>
    </row>
    <row r="87" customFormat="false" ht="14.25" hidden="false" customHeight="true" outlineLevel="0" collapsed="false">
      <c r="B87" s="12"/>
      <c r="C87" s="12"/>
      <c r="D87" s="12"/>
    </row>
    <row r="88" customFormat="false" ht="14.25" hidden="false" customHeight="true" outlineLevel="0" collapsed="false">
      <c r="B88" s="12"/>
      <c r="C88" s="12"/>
      <c r="D88" s="12"/>
    </row>
    <row r="89" customFormat="false" ht="14.25" hidden="false" customHeight="true" outlineLevel="0" collapsed="false">
      <c r="B89" s="12"/>
      <c r="C89" s="12"/>
      <c r="D89" s="12"/>
    </row>
    <row r="90" customFormat="false" ht="14.25" hidden="false" customHeight="true" outlineLevel="0" collapsed="false">
      <c r="B90" s="12"/>
      <c r="C90" s="12"/>
      <c r="D90" s="12"/>
    </row>
    <row r="91" customFormat="false" ht="14.25" hidden="false" customHeight="true" outlineLevel="0" collapsed="false">
      <c r="B91" s="12"/>
      <c r="C91" s="12"/>
      <c r="D91" s="12"/>
    </row>
    <row r="92" customFormat="false" ht="14.25" hidden="false" customHeight="true" outlineLevel="0" collapsed="false">
      <c r="B92" s="12"/>
      <c r="C92" s="12"/>
      <c r="D92" s="12"/>
    </row>
    <row r="93" customFormat="false" ht="14.25" hidden="false" customHeight="true" outlineLevel="0" collapsed="false">
      <c r="B93" s="12"/>
      <c r="C93" s="12"/>
      <c r="D93" s="12"/>
    </row>
    <row r="94" customFormat="false" ht="14.25" hidden="false" customHeight="true" outlineLevel="0" collapsed="false">
      <c r="B94" s="12"/>
      <c r="C94" s="12"/>
      <c r="D94" s="12"/>
    </row>
    <row r="95" customFormat="false" ht="14.25" hidden="false" customHeight="true" outlineLevel="0" collapsed="false">
      <c r="B95" s="12"/>
      <c r="C95" s="12"/>
      <c r="D95" s="12"/>
    </row>
    <row r="96" customFormat="false" ht="14.25" hidden="false" customHeight="true" outlineLevel="0" collapsed="false">
      <c r="B96" s="12"/>
      <c r="C96" s="12"/>
      <c r="D96" s="12"/>
    </row>
    <row r="97" customFormat="false" ht="14.25" hidden="false" customHeight="true" outlineLevel="0" collapsed="false">
      <c r="B97" s="12"/>
      <c r="C97" s="12"/>
      <c r="D97" s="12"/>
    </row>
    <row r="98" customFormat="false" ht="14.25" hidden="false" customHeight="true" outlineLevel="0" collapsed="false">
      <c r="B98" s="12"/>
      <c r="C98" s="12"/>
      <c r="D98" s="12"/>
    </row>
    <row r="99" customFormat="false" ht="14.25" hidden="false" customHeight="true" outlineLevel="0" collapsed="false">
      <c r="B99" s="12"/>
      <c r="C99" s="12"/>
      <c r="D99" s="12"/>
    </row>
    <row r="100" customFormat="false" ht="14.25" hidden="false" customHeight="true" outlineLevel="0" collapsed="false">
      <c r="B100" s="12"/>
      <c r="C100" s="12"/>
      <c r="D100" s="12"/>
    </row>
    <row r="101" customFormat="false" ht="14.25" hidden="false" customHeight="true" outlineLevel="0" collapsed="false">
      <c r="B101" s="12"/>
      <c r="C101" s="12"/>
      <c r="D101" s="12"/>
    </row>
    <row r="102" customFormat="false" ht="14.25" hidden="false" customHeight="true" outlineLevel="0" collapsed="false">
      <c r="B102" s="12"/>
      <c r="C102" s="12"/>
      <c r="D102" s="12"/>
    </row>
    <row r="103" customFormat="false" ht="14.25" hidden="false" customHeight="true" outlineLevel="0" collapsed="false">
      <c r="B103" s="12"/>
      <c r="C103" s="12"/>
      <c r="D103" s="12"/>
    </row>
    <row r="104" customFormat="false" ht="14.25" hidden="false" customHeight="true" outlineLevel="0" collapsed="false">
      <c r="B104" s="12"/>
      <c r="C104" s="12"/>
      <c r="D104" s="12"/>
    </row>
    <row r="105" customFormat="false" ht="14.25" hidden="false" customHeight="true" outlineLevel="0" collapsed="false">
      <c r="B105" s="12"/>
      <c r="C105" s="12"/>
      <c r="D105" s="12"/>
    </row>
    <row r="106" customFormat="false" ht="14.25" hidden="false" customHeight="true" outlineLevel="0" collapsed="false">
      <c r="B106" s="12"/>
      <c r="C106" s="12"/>
      <c r="D106" s="12"/>
    </row>
    <row r="107" customFormat="false" ht="14.25" hidden="false" customHeight="true" outlineLevel="0" collapsed="false">
      <c r="B107" s="12"/>
      <c r="C107" s="12"/>
      <c r="D107" s="12"/>
    </row>
    <row r="108" customFormat="false" ht="14.25" hidden="false" customHeight="true" outlineLevel="0" collapsed="false">
      <c r="B108" s="12"/>
      <c r="C108" s="12"/>
      <c r="D108" s="12"/>
    </row>
    <row r="109" customFormat="false" ht="14.25" hidden="false" customHeight="true" outlineLevel="0" collapsed="false">
      <c r="B109" s="12"/>
      <c r="C109" s="12"/>
      <c r="D109" s="12"/>
    </row>
    <row r="110" customFormat="false" ht="14.25" hidden="false" customHeight="true" outlineLevel="0" collapsed="false">
      <c r="B110" s="12"/>
      <c r="C110" s="12"/>
      <c r="D110" s="12"/>
    </row>
    <row r="111" customFormat="false" ht="14.25" hidden="false" customHeight="true" outlineLevel="0" collapsed="false">
      <c r="B111" s="12"/>
      <c r="C111" s="12"/>
      <c r="D111" s="12"/>
    </row>
    <row r="112" customFormat="false" ht="14.25" hidden="false" customHeight="true" outlineLevel="0" collapsed="false">
      <c r="B112" s="12"/>
      <c r="C112" s="12"/>
      <c r="D112" s="12"/>
    </row>
    <row r="113" customFormat="false" ht="14.25" hidden="false" customHeight="true" outlineLevel="0" collapsed="false">
      <c r="B113" s="12"/>
      <c r="C113" s="12"/>
      <c r="D113" s="12"/>
    </row>
    <row r="114" customFormat="false" ht="14.25" hidden="false" customHeight="true" outlineLevel="0" collapsed="false">
      <c r="B114" s="12"/>
      <c r="C114" s="12"/>
      <c r="D114" s="12"/>
    </row>
    <row r="115" customFormat="false" ht="14.25" hidden="false" customHeight="true" outlineLevel="0" collapsed="false">
      <c r="B115" s="12"/>
      <c r="C115" s="12"/>
      <c r="D115" s="12"/>
    </row>
    <row r="116" customFormat="false" ht="14.25" hidden="false" customHeight="true" outlineLevel="0" collapsed="false">
      <c r="B116" s="12"/>
      <c r="C116" s="12"/>
      <c r="D116" s="12"/>
    </row>
    <row r="117" customFormat="false" ht="14.25" hidden="false" customHeight="true" outlineLevel="0" collapsed="false">
      <c r="B117" s="12"/>
      <c r="C117" s="12"/>
      <c r="D117" s="12"/>
    </row>
    <row r="118" customFormat="false" ht="14.25" hidden="false" customHeight="true" outlineLevel="0" collapsed="false">
      <c r="B118" s="12"/>
      <c r="C118" s="12"/>
      <c r="D118" s="12"/>
    </row>
    <row r="119" customFormat="false" ht="14.25" hidden="false" customHeight="true" outlineLevel="0" collapsed="false">
      <c r="B119" s="12"/>
      <c r="C119" s="12"/>
      <c r="D119" s="12"/>
    </row>
    <row r="120" customFormat="false" ht="14.25" hidden="false" customHeight="true" outlineLevel="0" collapsed="false">
      <c r="B120" s="12"/>
      <c r="C120" s="12"/>
      <c r="D120" s="12"/>
    </row>
    <row r="121" customFormat="false" ht="14.25" hidden="false" customHeight="true" outlineLevel="0" collapsed="false">
      <c r="B121" s="12"/>
      <c r="C121" s="12"/>
      <c r="D121" s="12"/>
    </row>
    <row r="122" customFormat="false" ht="14.25" hidden="false" customHeight="true" outlineLevel="0" collapsed="false">
      <c r="B122" s="12"/>
      <c r="C122" s="12"/>
      <c r="D122" s="12"/>
    </row>
    <row r="123" customFormat="false" ht="14.25" hidden="false" customHeight="true" outlineLevel="0" collapsed="false">
      <c r="B123" s="12"/>
      <c r="C123" s="12"/>
      <c r="D123" s="12"/>
    </row>
    <row r="124" customFormat="false" ht="14.25" hidden="false" customHeight="true" outlineLevel="0" collapsed="false">
      <c r="B124" s="12"/>
      <c r="C124" s="12"/>
      <c r="D124" s="12"/>
    </row>
    <row r="125" customFormat="false" ht="14.25" hidden="false" customHeight="true" outlineLevel="0" collapsed="false">
      <c r="B125" s="12"/>
      <c r="C125" s="12"/>
      <c r="D125" s="12"/>
    </row>
    <row r="126" customFormat="false" ht="14.25" hidden="false" customHeight="true" outlineLevel="0" collapsed="false">
      <c r="B126" s="12"/>
      <c r="C126" s="12"/>
      <c r="D126" s="12"/>
    </row>
    <row r="127" customFormat="false" ht="14.25" hidden="false" customHeight="true" outlineLevel="0" collapsed="false">
      <c r="B127" s="12"/>
      <c r="C127" s="12"/>
      <c r="D127" s="12"/>
    </row>
    <row r="128" customFormat="false" ht="14.25" hidden="false" customHeight="true" outlineLevel="0" collapsed="false">
      <c r="B128" s="12"/>
      <c r="C128" s="12"/>
      <c r="D128" s="12"/>
    </row>
    <row r="129" customFormat="false" ht="14.25" hidden="false" customHeight="true" outlineLevel="0" collapsed="false">
      <c r="B129" s="12"/>
      <c r="C129" s="12"/>
      <c r="D129" s="12"/>
    </row>
    <row r="130" customFormat="false" ht="14.25" hidden="false" customHeight="true" outlineLevel="0" collapsed="false">
      <c r="B130" s="12"/>
      <c r="C130" s="12"/>
      <c r="D130" s="12"/>
    </row>
    <row r="131" customFormat="false" ht="14.25" hidden="false" customHeight="true" outlineLevel="0" collapsed="false">
      <c r="B131" s="12"/>
      <c r="C131" s="12"/>
      <c r="D131" s="12"/>
    </row>
    <row r="132" customFormat="false" ht="14.25" hidden="false" customHeight="true" outlineLevel="0" collapsed="false">
      <c r="B132" s="12"/>
      <c r="C132" s="12"/>
      <c r="D132" s="12"/>
    </row>
    <row r="133" customFormat="false" ht="14.25" hidden="false" customHeight="true" outlineLevel="0" collapsed="false">
      <c r="B133" s="12"/>
      <c r="C133" s="12"/>
      <c r="D133" s="12"/>
    </row>
    <row r="134" customFormat="false" ht="14.25" hidden="false" customHeight="true" outlineLevel="0" collapsed="false">
      <c r="B134" s="12"/>
      <c r="C134" s="12"/>
      <c r="D134" s="12"/>
    </row>
    <row r="135" customFormat="false" ht="14.25" hidden="false" customHeight="true" outlineLevel="0" collapsed="false">
      <c r="B135" s="12"/>
      <c r="C135" s="12"/>
      <c r="D135" s="12"/>
    </row>
    <row r="136" customFormat="false" ht="14.25" hidden="false" customHeight="true" outlineLevel="0" collapsed="false">
      <c r="B136" s="12"/>
      <c r="C136" s="12"/>
      <c r="D136" s="12"/>
    </row>
    <row r="137" customFormat="false" ht="14.25" hidden="false" customHeight="true" outlineLevel="0" collapsed="false">
      <c r="B137" s="12"/>
      <c r="C137" s="12"/>
      <c r="D137" s="12"/>
    </row>
    <row r="138" customFormat="false" ht="14.25" hidden="false" customHeight="true" outlineLevel="0" collapsed="false">
      <c r="B138" s="12"/>
      <c r="C138" s="12"/>
      <c r="D138" s="12"/>
    </row>
    <row r="139" customFormat="false" ht="14.25" hidden="false" customHeight="true" outlineLevel="0" collapsed="false">
      <c r="B139" s="12"/>
      <c r="C139" s="12"/>
      <c r="D139" s="12"/>
    </row>
    <row r="140" customFormat="false" ht="14.25" hidden="false" customHeight="true" outlineLevel="0" collapsed="false">
      <c r="B140" s="12"/>
      <c r="C140" s="12"/>
      <c r="D140" s="12"/>
    </row>
    <row r="141" customFormat="false" ht="14.25" hidden="false" customHeight="true" outlineLevel="0" collapsed="false">
      <c r="B141" s="12"/>
      <c r="C141" s="12"/>
      <c r="D141" s="12"/>
    </row>
    <row r="142" customFormat="false" ht="14.25" hidden="false" customHeight="true" outlineLevel="0" collapsed="false">
      <c r="B142" s="12"/>
      <c r="C142" s="12"/>
      <c r="D142" s="12"/>
    </row>
    <row r="143" customFormat="false" ht="14.25" hidden="false" customHeight="true" outlineLevel="0" collapsed="false">
      <c r="B143" s="12"/>
      <c r="C143" s="12"/>
      <c r="D143" s="12"/>
    </row>
    <row r="144" customFormat="false" ht="14.25" hidden="false" customHeight="true" outlineLevel="0" collapsed="false">
      <c r="B144" s="12"/>
      <c r="C144" s="12"/>
      <c r="D144" s="12"/>
    </row>
    <row r="145" customFormat="false" ht="14.25" hidden="false" customHeight="true" outlineLevel="0" collapsed="false">
      <c r="B145" s="12"/>
      <c r="C145" s="12"/>
      <c r="D145" s="12"/>
    </row>
    <row r="146" customFormat="false" ht="14.25" hidden="false" customHeight="true" outlineLevel="0" collapsed="false">
      <c r="B146" s="12"/>
      <c r="C146" s="12"/>
      <c r="D146" s="12"/>
    </row>
    <row r="147" customFormat="false" ht="14.25" hidden="false" customHeight="true" outlineLevel="0" collapsed="false">
      <c r="B147" s="12"/>
      <c r="C147" s="12"/>
      <c r="D147" s="12"/>
    </row>
    <row r="148" customFormat="false" ht="14.25" hidden="false" customHeight="true" outlineLevel="0" collapsed="false">
      <c r="B148" s="12"/>
      <c r="C148" s="12"/>
      <c r="D148" s="12"/>
    </row>
    <row r="149" customFormat="false" ht="14.25" hidden="false" customHeight="true" outlineLevel="0" collapsed="false">
      <c r="B149" s="12"/>
      <c r="C149" s="12"/>
      <c r="D149" s="12"/>
    </row>
    <row r="150" customFormat="false" ht="14.25" hidden="false" customHeight="true" outlineLevel="0" collapsed="false">
      <c r="B150" s="12"/>
      <c r="C150" s="12"/>
      <c r="D150" s="12"/>
    </row>
    <row r="151" customFormat="false" ht="14.25" hidden="false" customHeight="true" outlineLevel="0" collapsed="false">
      <c r="B151" s="12"/>
      <c r="C151" s="12"/>
      <c r="D151" s="12"/>
    </row>
    <row r="152" customFormat="false" ht="14.25" hidden="false" customHeight="true" outlineLevel="0" collapsed="false">
      <c r="B152" s="12"/>
      <c r="C152" s="12"/>
      <c r="D152" s="12"/>
    </row>
    <row r="153" customFormat="false" ht="14.25" hidden="false" customHeight="true" outlineLevel="0" collapsed="false">
      <c r="B153" s="12"/>
      <c r="C153" s="12"/>
      <c r="D153" s="12"/>
    </row>
    <row r="154" customFormat="false" ht="14.25" hidden="false" customHeight="true" outlineLevel="0" collapsed="false">
      <c r="B154" s="12"/>
      <c r="C154" s="12"/>
      <c r="D154" s="12"/>
    </row>
    <row r="155" customFormat="false" ht="14.25" hidden="false" customHeight="true" outlineLevel="0" collapsed="false">
      <c r="B155" s="12"/>
      <c r="C155" s="12"/>
      <c r="D155" s="12"/>
    </row>
    <row r="156" customFormat="false" ht="14.25" hidden="false" customHeight="true" outlineLevel="0" collapsed="false">
      <c r="B156" s="12"/>
      <c r="C156" s="12"/>
      <c r="D156" s="12"/>
    </row>
    <row r="157" customFormat="false" ht="14.25" hidden="false" customHeight="true" outlineLevel="0" collapsed="false">
      <c r="B157" s="12"/>
      <c r="C157" s="12"/>
      <c r="D157" s="12"/>
    </row>
    <row r="158" customFormat="false" ht="14.25" hidden="false" customHeight="true" outlineLevel="0" collapsed="false">
      <c r="B158" s="12"/>
      <c r="C158" s="12"/>
      <c r="D158" s="12"/>
    </row>
    <row r="159" customFormat="false" ht="14.25" hidden="false" customHeight="true" outlineLevel="0" collapsed="false">
      <c r="B159" s="12"/>
      <c r="C159" s="12"/>
      <c r="D159" s="12"/>
    </row>
    <row r="160" customFormat="false" ht="14.25" hidden="false" customHeight="true" outlineLevel="0" collapsed="false">
      <c r="B160" s="12"/>
      <c r="C160" s="12"/>
      <c r="D160" s="12"/>
    </row>
    <row r="161" customFormat="false" ht="14.25" hidden="false" customHeight="true" outlineLevel="0" collapsed="false">
      <c r="B161" s="12"/>
      <c r="C161" s="12"/>
      <c r="D161" s="12"/>
    </row>
    <row r="162" customFormat="false" ht="14.25" hidden="false" customHeight="true" outlineLevel="0" collapsed="false">
      <c r="B162" s="12"/>
      <c r="C162" s="12"/>
      <c r="D162" s="12"/>
    </row>
    <row r="163" customFormat="false" ht="14.25" hidden="false" customHeight="true" outlineLevel="0" collapsed="false">
      <c r="B163" s="12"/>
      <c r="C163" s="12"/>
      <c r="D163" s="12"/>
    </row>
    <row r="164" customFormat="false" ht="14.25" hidden="false" customHeight="true" outlineLevel="0" collapsed="false">
      <c r="B164" s="12"/>
      <c r="C164" s="12"/>
      <c r="D164" s="12"/>
    </row>
    <row r="165" customFormat="false" ht="14.25" hidden="false" customHeight="true" outlineLevel="0" collapsed="false">
      <c r="B165" s="12"/>
      <c r="C165" s="12"/>
      <c r="D165" s="12"/>
    </row>
    <row r="166" customFormat="false" ht="14.25" hidden="false" customHeight="true" outlineLevel="0" collapsed="false">
      <c r="B166" s="12"/>
      <c r="C166" s="12"/>
      <c r="D166" s="12"/>
    </row>
    <row r="167" customFormat="false" ht="14.25" hidden="false" customHeight="true" outlineLevel="0" collapsed="false">
      <c r="B167" s="12"/>
      <c r="C167" s="12"/>
      <c r="D167" s="12"/>
    </row>
    <row r="168" customFormat="false" ht="14.25" hidden="false" customHeight="true" outlineLevel="0" collapsed="false">
      <c r="B168" s="12"/>
      <c r="C168" s="12"/>
      <c r="D168" s="12"/>
    </row>
    <row r="169" customFormat="false" ht="14.25" hidden="false" customHeight="true" outlineLevel="0" collapsed="false">
      <c r="B169" s="12"/>
      <c r="C169" s="12"/>
      <c r="D169" s="12"/>
    </row>
    <row r="170" customFormat="false" ht="14.25" hidden="false" customHeight="true" outlineLevel="0" collapsed="false">
      <c r="B170" s="12"/>
      <c r="C170" s="12"/>
      <c r="D170" s="12"/>
    </row>
    <row r="171" customFormat="false" ht="14.25" hidden="false" customHeight="true" outlineLevel="0" collapsed="false">
      <c r="B171" s="12"/>
      <c r="C171" s="12"/>
      <c r="D171" s="12"/>
    </row>
    <row r="172" customFormat="false" ht="14.25" hidden="false" customHeight="true" outlineLevel="0" collapsed="false">
      <c r="B172" s="12"/>
      <c r="C172" s="12"/>
      <c r="D172" s="12"/>
    </row>
    <row r="173" customFormat="false" ht="14.25" hidden="false" customHeight="true" outlineLevel="0" collapsed="false">
      <c r="B173" s="12"/>
      <c r="C173" s="12"/>
      <c r="D173" s="12"/>
    </row>
    <row r="174" customFormat="false" ht="14.25" hidden="false" customHeight="true" outlineLevel="0" collapsed="false">
      <c r="B174" s="12"/>
      <c r="C174" s="12"/>
      <c r="D174" s="12"/>
    </row>
    <row r="175" customFormat="false" ht="14.25" hidden="false" customHeight="true" outlineLevel="0" collapsed="false">
      <c r="B175" s="12"/>
      <c r="C175" s="12"/>
      <c r="D175" s="12"/>
    </row>
    <row r="176" customFormat="false" ht="14.25" hidden="false" customHeight="true" outlineLevel="0" collapsed="false">
      <c r="B176" s="12"/>
      <c r="C176" s="12"/>
      <c r="D176" s="12"/>
    </row>
    <row r="177" customFormat="false" ht="14.25" hidden="false" customHeight="true" outlineLevel="0" collapsed="false">
      <c r="B177" s="12"/>
      <c r="C177" s="12"/>
      <c r="D177" s="12"/>
    </row>
    <row r="178" customFormat="false" ht="14.25" hidden="false" customHeight="true" outlineLevel="0" collapsed="false">
      <c r="B178" s="12"/>
      <c r="C178" s="12"/>
      <c r="D178" s="12"/>
    </row>
    <row r="179" customFormat="false" ht="14.25" hidden="false" customHeight="true" outlineLevel="0" collapsed="false">
      <c r="B179" s="12"/>
      <c r="C179" s="12"/>
      <c r="D179" s="12"/>
    </row>
    <row r="180" customFormat="false" ht="14.25" hidden="false" customHeight="true" outlineLevel="0" collapsed="false">
      <c r="B180" s="12"/>
      <c r="C180" s="12"/>
      <c r="D180" s="12"/>
    </row>
    <row r="181" customFormat="false" ht="14.25" hidden="false" customHeight="true" outlineLevel="0" collapsed="false">
      <c r="B181" s="12"/>
      <c r="C181" s="12"/>
      <c r="D181" s="12"/>
    </row>
    <row r="182" customFormat="false" ht="14.25" hidden="false" customHeight="true" outlineLevel="0" collapsed="false">
      <c r="B182" s="12"/>
      <c r="C182" s="12"/>
      <c r="D182" s="12"/>
    </row>
    <row r="183" customFormat="false" ht="14.25" hidden="false" customHeight="true" outlineLevel="0" collapsed="false">
      <c r="B183" s="12"/>
      <c r="C183" s="12"/>
      <c r="D183" s="12"/>
    </row>
    <row r="184" customFormat="false" ht="14.25" hidden="false" customHeight="true" outlineLevel="0" collapsed="false">
      <c r="B184" s="12"/>
      <c r="C184" s="12"/>
      <c r="D184" s="12"/>
    </row>
    <row r="185" customFormat="false" ht="14.25" hidden="false" customHeight="true" outlineLevel="0" collapsed="false">
      <c r="B185" s="12"/>
      <c r="C185" s="12"/>
      <c r="D185" s="12"/>
    </row>
    <row r="186" customFormat="false" ht="14.25" hidden="false" customHeight="true" outlineLevel="0" collapsed="false">
      <c r="B186" s="12"/>
      <c r="C186" s="12"/>
      <c r="D186" s="12"/>
    </row>
    <row r="187" customFormat="false" ht="14.25" hidden="false" customHeight="true" outlineLevel="0" collapsed="false">
      <c r="B187" s="12"/>
      <c r="C187" s="12"/>
      <c r="D187" s="12"/>
    </row>
    <row r="188" customFormat="false" ht="14.25" hidden="false" customHeight="true" outlineLevel="0" collapsed="false">
      <c r="B188" s="12"/>
      <c r="C188" s="12"/>
      <c r="D188" s="12"/>
    </row>
    <row r="189" customFormat="false" ht="14.25" hidden="false" customHeight="true" outlineLevel="0" collapsed="false">
      <c r="B189" s="12"/>
      <c r="C189" s="12"/>
      <c r="D189" s="12"/>
    </row>
    <row r="190" customFormat="false" ht="14.25" hidden="false" customHeight="true" outlineLevel="0" collapsed="false">
      <c r="B190" s="12"/>
      <c r="C190" s="12"/>
      <c r="D190" s="12"/>
    </row>
    <row r="191" customFormat="false" ht="14.25" hidden="false" customHeight="true" outlineLevel="0" collapsed="false">
      <c r="B191" s="12"/>
      <c r="C191" s="12"/>
      <c r="D191" s="12"/>
    </row>
    <row r="192" customFormat="false" ht="14.25" hidden="false" customHeight="true" outlineLevel="0" collapsed="false">
      <c r="B192" s="12"/>
      <c r="C192" s="12"/>
      <c r="D192" s="12"/>
    </row>
    <row r="193" customFormat="false" ht="14.25" hidden="false" customHeight="true" outlineLevel="0" collapsed="false">
      <c r="B193" s="12"/>
      <c r="C193" s="12"/>
      <c r="D193" s="12"/>
    </row>
    <row r="194" customFormat="false" ht="14.25" hidden="false" customHeight="true" outlineLevel="0" collapsed="false">
      <c r="B194" s="12"/>
      <c r="C194" s="12"/>
      <c r="D194" s="12"/>
    </row>
    <row r="195" customFormat="false" ht="14.25" hidden="false" customHeight="true" outlineLevel="0" collapsed="false">
      <c r="B195" s="12"/>
      <c r="C195" s="12"/>
      <c r="D195" s="12"/>
    </row>
    <row r="196" customFormat="false" ht="14.25" hidden="false" customHeight="true" outlineLevel="0" collapsed="false">
      <c r="B196" s="12"/>
      <c r="C196" s="12"/>
      <c r="D196" s="12"/>
    </row>
    <row r="197" customFormat="false" ht="14.25" hidden="false" customHeight="true" outlineLevel="0" collapsed="false">
      <c r="B197" s="12"/>
      <c r="C197" s="12"/>
      <c r="D197" s="12"/>
    </row>
    <row r="198" customFormat="false" ht="14.25" hidden="false" customHeight="true" outlineLevel="0" collapsed="false">
      <c r="B198" s="12"/>
      <c r="C198" s="12"/>
      <c r="D198" s="12"/>
    </row>
    <row r="199" customFormat="false" ht="14.25" hidden="false" customHeight="true" outlineLevel="0" collapsed="false">
      <c r="B199" s="12"/>
      <c r="C199" s="12"/>
      <c r="D199" s="12"/>
    </row>
    <row r="200" customFormat="false" ht="14.25" hidden="false" customHeight="true" outlineLevel="0" collapsed="false">
      <c r="B200" s="12"/>
      <c r="C200" s="12"/>
      <c r="D200" s="12"/>
    </row>
    <row r="201" customFormat="false" ht="14.25" hidden="false" customHeight="true" outlineLevel="0" collapsed="false">
      <c r="B201" s="12"/>
      <c r="C201" s="12"/>
      <c r="D201" s="12"/>
    </row>
    <row r="202" customFormat="false" ht="14.25" hidden="false" customHeight="true" outlineLevel="0" collapsed="false">
      <c r="B202" s="12"/>
      <c r="C202" s="12"/>
      <c r="D202" s="12"/>
    </row>
    <row r="203" customFormat="false" ht="14.25" hidden="false" customHeight="true" outlineLevel="0" collapsed="false">
      <c r="B203" s="12"/>
      <c r="C203" s="12"/>
      <c r="D203" s="12"/>
    </row>
    <row r="204" customFormat="false" ht="14.25" hidden="false" customHeight="true" outlineLevel="0" collapsed="false">
      <c r="B204" s="12"/>
      <c r="C204" s="12"/>
      <c r="D204" s="12"/>
    </row>
    <row r="205" customFormat="false" ht="14.25" hidden="false" customHeight="true" outlineLevel="0" collapsed="false">
      <c r="B205" s="12"/>
      <c r="C205" s="12"/>
      <c r="D205" s="12"/>
    </row>
    <row r="206" customFormat="false" ht="14.25" hidden="false" customHeight="true" outlineLevel="0" collapsed="false">
      <c r="B206" s="12"/>
      <c r="C206" s="12"/>
      <c r="D206" s="12"/>
    </row>
    <row r="207" customFormat="false" ht="14.25" hidden="false" customHeight="true" outlineLevel="0" collapsed="false">
      <c r="B207" s="12"/>
      <c r="C207" s="12"/>
      <c r="D207" s="12"/>
    </row>
    <row r="208" customFormat="false" ht="14.25" hidden="false" customHeight="true" outlineLevel="0" collapsed="false">
      <c r="B208" s="12"/>
      <c r="C208" s="12"/>
      <c r="D208" s="12"/>
    </row>
    <row r="209" customFormat="false" ht="14.25" hidden="false" customHeight="true" outlineLevel="0" collapsed="false">
      <c r="B209" s="12"/>
      <c r="C209" s="12"/>
      <c r="D209" s="12"/>
    </row>
    <row r="210" customFormat="false" ht="14.25" hidden="false" customHeight="true" outlineLevel="0" collapsed="false">
      <c r="B210" s="12"/>
      <c r="C210" s="12"/>
      <c r="D210" s="12"/>
    </row>
    <row r="211" customFormat="false" ht="14.25" hidden="false" customHeight="true" outlineLevel="0" collapsed="false">
      <c r="B211" s="12"/>
      <c r="C211" s="12"/>
      <c r="D211" s="12"/>
    </row>
    <row r="212" customFormat="false" ht="14.25" hidden="false" customHeight="true" outlineLevel="0" collapsed="false">
      <c r="B212" s="12"/>
      <c r="C212" s="12"/>
      <c r="D212" s="12"/>
    </row>
    <row r="213" customFormat="false" ht="14.25" hidden="false" customHeight="true" outlineLevel="0" collapsed="false">
      <c r="B213" s="12"/>
      <c r="C213" s="12"/>
      <c r="D213" s="12"/>
    </row>
    <row r="214" customFormat="false" ht="14.25" hidden="false" customHeight="true" outlineLevel="0" collapsed="false">
      <c r="B214" s="12"/>
      <c r="C214" s="12"/>
      <c r="D214" s="12"/>
    </row>
    <row r="215" customFormat="false" ht="14.25" hidden="false" customHeight="true" outlineLevel="0" collapsed="false">
      <c r="B215" s="12"/>
      <c r="C215" s="12"/>
      <c r="D215" s="12"/>
    </row>
    <row r="216" customFormat="false" ht="14.25" hidden="false" customHeight="true" outlineLevel="0" collapsed="false">
      <c r="B216" s="12"/>
      <c r="C216" s="12"/>
      <c r="D216" s="12"/>
    </row>
    <row r="217" customFormat="false" ht="14.25" hidden="false" customHeight="true" outlineLevel="0" collapsed="false">
      <c r="B217" s="12"/>
      <c r="C217" s="12"/>
      <c r="D217" s="12"/>
    </row>
    <row r="218" customFormat="false" ht="14.25" hidden="false" customHeight="true" outlineLevel="0" collapsed="false">
      <c r="B218" s="12"/>
      <c r="C218" s="12"/>
      <c r="D218" s="12"/>
    </row>
    <row r="219" customFormat="false" ht="14.25" hidden="false" customHeight="true" outlineLevel="0" collapsed="false">
      <c r="B219" s="12"/>
      <c r="C219" s="12"/>
      <c r="D219" s="12"/>
    </row>
    <row r="220" customFormat="false" ht="14.25" hidden="false" customHeight="true" outlineLevel="0" collapsed="false">
      <c r="B220" s="12"/>
      <c r="C220" s="12"/>
      <c r="D220" s="12"/>
    </row>
    <row r="221" customFormat="false" ht="14.25" hidden="false" customHeight="true" outlineLevel="0" collapsed="false">
      <c r="B221" s="12"/>
      <c r="C221" s="12"/>
      <c r="D221" s="12"/>
    </row>
    <row r="222" customFormat="false" ht="14.25" hidden="false" customHeight="true" outlineLevel="0" collapsed="false">
      <c r="B222" s="12"/>
      <c r="C222" s="12"/>
      <c r="D222" s="12"/>
    </row>
    <row r="223" customFormat="false" ht="14.25" hidden="false" customHeight="true" outlineLevel="0" collapsed="false">
      <c r="B223" s="12"/>
      <c r="C223" s="12"/>
      <c r="D223" s="12"/>
    </row>
    <row r="224" customFormat="false" ht="14.25" hidden="false" customHeight="true" outlineLevel="0" collapsed="false">
      <c r="B224" s="12"/>
      <c r="C224" s="12"/>
      <c r="D224" s="12"/>
    </row>
    <row r="225" customFormat="false" ht="14.25" hidden="false" customHeight="true" outlineLevel="0" collapsed="false">
      <c r="B225" s="12"/>
      <c r="C225" s="12"/>
      <c r="D225" s="12"/>
    </row>
    <row r="226" customFormat="false" ht="14.25" hidden="false" customHeight="true" outlineLevel="0" collapsed="false">
      <c r="B226" s="12"/>
      <c r="C226" s="12"/>
      <c r="D226" s="12"/>
    </row>
    <row r="227" customFormat="false" ht="14.25" hidden="false" customHeight="true" outlineLevel="0" collapsed="false">
      <c r="B227" s="12"/>
      <c r="C227" s="12"/>
      <c r="D227" s="12"/>
    </row>
    <row r="228" customFormat="false" ht="14.25" hidden="false" customHeight="true" outlineLevel="0" collapsed="false">
      <c r="B228" s="12"/>
      <c r="C228" s="12"/>
      <c r="D228" s="12"/>
    </row>
    <row r="229" customFormat="false" ht="14.25" hidden="false" customHeight="true" outlineLevel="0" collapsed="false">
      <c r="B229" s="12"/>
      <c r="C229" s="12"/>
      <c r="D229" s="12"/>
    </row>
    <row r="230" customFormat="false" ht="14.25" hidden="false" customHeight="true" outlineLevel="0" collapsed="false">
      <c r="B230" s="12"/>
      <c r="C230" s="12"/>
      <c r="D230" s="12"/>
    </row>
    <row r="231" customFormat="false" ht="14.25" hidden="false" customHeight="true" outlineLevel="0" collapsed="false">
      <c r="B231" s="12"/>
      <c r="C231" s="12"/>
      <c r="D231" s="12"/>
    </row>
    <row r="232" customFormat="false" ht="14.25" hidden="false" customHeight="true" outlineLevel="0" collapsed="false">
      <c r="B232" s="12"/>
      <c r="C232" s="12"/>
      <c r="D232" s="12"/>
    </row>
    <row r="233" customFormat="false" ht="14.25" hidden="false" customHeight="true" outlineLevel="0" collapsed="false">
      <c r="B233" s="12"/>
      <c r="C233" s="12"/>
      <c r="D233" s="12"/>
    </row>
    <row r="234" customFormat="false" ht="14.25" hidden="false" customHeight="true" outlineLevel="0" collapsed="false">
      <c r="B234" s="12"/>
      <c r="C234" s="12"/>
      <c r="D234" s="12"/>
    </row>
    <row r="235" customFormat="false" ht="14.25" hidden="false" customHeight="true" outlineLevel="0" collapsed="false">
      <c r="B235" s="12"/>
      <c r="C235" s="12"/>
      <c r="D235" s="12"/>
    </row>
    <row r="236" customFormat="false" ht="14.25" hidden="false" customHeight="true" outlineLevel="0" collapsed="false">
      <c r="B236" s="12"/>
      <c r="C236" s="12"/>
      <c r="D236" s="12"/>
    </row>
    <row r="237" customFormat="false" ht="14.25" hidden="false" customHeight="true" outlineLevel="0" collapsed="false">
      <c r="B237" s="12"/>
      <c r="C237" s="12"/>
      <c r="D237" s="12"/>
    </row>
    <row r="238" customFormat="false" ht="14.25" hidden="false" customHeight="true" outlineLevel="0" collapsed="false">
      <c r="B238" s="12"/>
      <c r="C238" s="12"/>
      <c r="D238" s="12"/>
    </row>
    <row r="239" customFormat="false" ht="14.25" hidden="false" customHeight="true" outlineLevel="0" collapsed="false">
      <c r="B239" s="12"/>
      <c r="C239" s="12"/>
      <c r="D239" s="12"/>
    </row>
    <row r="240" customFormat="false" ht="14.25" hidden="false" customHeight="true" outlineLevel="0" collapsed="false">
      <c r="B240" s="12"/>
      <c r="C240" s="12"/>
      <c r="D240" s="12"/>
    </row>
    <row r="241" customFormat="false" ht="14.25" hidden="false" customHeight="true" outlineLevel="0" collapsed="false">
      <c r="B241" s="12"/>
      <c r="C241" s="12"/>
      <c r="D241" s="12"/>
    </row>
    <row r="242" customFormat="false" ht="14.25" hidden="false" customHeight="true" outlineLevel="0" collapsed="false">
      <c r="B242" s="12"/>
      <c r="C242" s="12"/>
      <c r="D242" s="12"/>
    </row>
    <row r="243" customFormat="false" ht="14.25" hidden="false" customHeight="true" outlineLevel="0" collapsed="false">
      <c r="B243" s="12"/>
      <c r="C243" s="12"/>
      <c r="D243" s="12"/>
    </row>
    <row r="244" customFormat="false" ht="14.25" hidden="false" customHeight="true" outlineLevel="0" collapsed="false">
      <c r="B244" s="12"/>
      <c r="C244" s="12"/>
      <c r="D244" s="12"/>
    </row>
    <row r="245" customFormat="false" ht="14.25" hidden="false" customHeight="true" outlineLevel="0" collapsed="false">
      <c r="B245" s="12"/>
      <c r="C245" s="12"/>
      <c r="D245" s="12"/>
    </row>
    <row r="246" customFormat="false" ht="14.25" hidden="false" customHeight="true" outlineLevel="0" collapsed="false">
      <c r="B246" s="12"/>
      <c r="C246" s="12"/>
      <c r="D246" s="12"/>
    </row>
    <row r="247" customFormat="false" ht="14.25" hidden="false" customHeight="true" outlineLevel="0" collapsed="false">
      <c r="B247" s="12"/>
      <c r="C247" s="12"/>
      <c r="D247" s="12"/>
    </row>
    <row r="248" customFormat="false" ht="14.25" hidden="false" customHeight="true" outlineLevel="0" collapsed="false">
      <c r="B248" s="12"/>
      <c r="C248" s="12"/>
      <c r="D248" s="12"/>
    </row>
    <row r="249" customFormat="false" ht="14.25" hidden="false" customHeight="true" outlineLevel="0" collapsed="false">
      <c r="B249" s="12"/>
      <c r="C249" s="12"/>
      <c r="D249" s="12"/>
    </row>
    <row r="250" customFormat="false" ht="14.25" hidden="false" customHeight="true" outlineLevel="0" collapsed="false">
      <c r="B250" s="12"/>
      <c r="C250" s="12"/>
      <c r="D250" s="12"/>
    </row>
    <row r="251" customFormat="false" ht="14.25" hidden="false" customHeight="true" outlineLevel="0" collapsed="false">
      <c r="B251" s="12"/>
      <c r="C251" s="12"/>
      <c r="D251" s="12"/>
    </row>
    <row r="252" customFormat="false" ht="14.25" hidden="false" customHeight="true" outlineLevel="0" collapsed="false">
      <c r="B252" s="12"/>
      <c r="C252" s="12"/>
      <c r="D252" s="12"/>
    </row>
    <row r="253" customFormat="false" ht="14.25" hidden="false" customHeight="true" outlineLevel="0" collapsed="false">
      <c r="B253" s="12"/>
      <c r="C253" s="12"/>
      <c r="D253" s="12"/>
    </row>
    <row r="254" customFormat="false" ht="14.25" hidden="false" customHeight="true" outlineLevel="0" collapsed="false">
      <c r="B254" s="12"/>
      <c r="C254" s="12"/>
      <c r="D254" s="12"/>
    </row>
    <row r="255" customFormat="false" ht="14.25" hidden="false" customHeight="true" outlineLevel="0" collapsed="false">
      <c r="B255" s="12"/>
      <c r="C255" s="12"/>
      <c r="D255" s="12"/>
    </row>
    <row r="256" customFormat="false" ht="14.25" hidden="false" customHeight="true" outlineLevel="0" collapsed="false">
      <c r="B256" s="12"/>
      <c r="C256" s="12"/>
      <c r="D256" s="12"/>
    </row>
    <row r="257" customFormat="false" ht="14.25" hidden="false" customHeight="true" outlineLevel="0" collapsed="false">
      <c r="B257" s="12"/>
      <c r="C257" s="12"/>
      <c r="D257" s="12"/>
    </row>
    <row r="258" customFormat="false" ht="14.25" hidden="false" customHeight="true" outlineLevel="0" collapsed="false">
      <c r="B258" s="12"/>
      <c r="C258" s="12"/>
      <c r="D258" s="12"/>
    </row>
    <row r="259" customFormat="false" ht="14.25" hidden="false" customHeight="true" outlineLevel="0" collapsed="false">
      <c r="B259" s="12"/>
      <c r="C259" s="12"/>
      <c r="D259" s="12"/>
    </row>
    <row r="260" customFormat="false" ht="14.25" hidden="false" customHeight="true" outlineLevel="0" collapsed="false">
      <c r="B260" s="12"/>
      <c r="C260" s="12"/>
      <c r="D260" s="12"/>
    </row>
    <row r="261" customFormat="false" ht="14.25" hidden="false" customHeight="true" outlineLevel="0" collapsed="false">
      <c r="B261" s="12"/>
      <c r="C261" s="12"/>
      <c r="D261" s="12"/>
    </row>
    <row r="262" customFormat="false" ht="14.25" hidden="false" customHeight="true" outlineLevel="0" collapsed="false">
      <c r="B262" s="12"/>
      <c r="C262" s="12"/>
      <c r="D262" s="12"/>
    </row>
    <row r="263" customFormat="false" ht="14.25" hidden="false" customHeight="true" outlineLevel="0" collapsed="false">
      <c r="B263" s="12"/>
      <c r="C263" s="12"/>
      <c r="D263" s="12"/>
    </row>
    <row r="264" customFormat="false" ht="14.25" hidden="false" customHeight="true" outlineLevel="0" collapsed="false">
      <c r="B264" s="12"/>
      <c r="C264" s="12"/>
      <c r="D264" s="12"/>
    </row>
    <row r="265" customFormat="false" ht="14.25" hidden="false" customHeight="true" outlineLevel="0" collapsed="false">
      <c r="B265" s="12"/>
      <c r="C265" s="12"/>
      <c r="D265" s="12"/>
    </row>
    <row r="266" customFormat="false" ht="14.25" hidden="false" customHeight="true" outlineLevel="0" collapsed="false">
      <c r="B266" s="12"/>
      <c r="C266" s="12"/>
      <c r="D266" s="12"/>
    </row>
    <row r="267" customFormat="false" ht="14.25" hidden="false" customHeight="true" outlineLevel="0" collapsed="false">
      <c r="B267" s="12"/>
      <c r="C267" s="12"/>
      <c r="D267" s="12"/>
    </row>
    <row r="268" customFormat="false" ht="14.25" hidden="false" customHeight="true" outlineLevel="0" collapsed="false">
      <c r="B268" s="12"/>
      <c r="C268" s="12"/>
      <c r="D268" s="12"/>
    </row>
    <row r="269" customFormat="false" ht="14.25" hidden="false" customHeight="true" outlineLevel="0" collapsed="false">
      <c r="B269" s="12"/>
      <c r="C269" s="12"/>
      <c r="D269" s="12"/>
    </row>
    <row r="270" customFormat="false" ht="14.25" hidden="false" customHeight="true" outlineLevel="0" collapsed="false">
      <c r="B270" s="12"/>
      <c r="C270" s="12"/>
      <c r="D270" s="12"/>
    </row>
    <row r="271" customFormat="false" ht="14.25" hidden="false" customHeight="true" outlineLevel="0" collapsed="false">
      <c r="B271" s="12"/>
      <c r="C271" s="12"/>
      <c r="D271" s="12"/>
    </row>
    <row r="272" customFormat="false" ht="14.25" hidden="false" customHeight="true" outlineLevel="0" collapsed="false">
      <c r="B272" s="12"/>
      <c r="C272" s="12"/>
      <c r="D272" s="12"/>
    </row>
    <row r="273" customFormat="false" ht="14.25" hidden="false" customHeight="true" outlineLevel="0" collapsed="false">
      <c r="B273" s="12"/>
      <c r="C273" s="12"/>
      <c r="D273" s="12"/>
    </row>
    <row r="274" customFormat="false" ht="14.25" hidden="false" customHeight="true" outlineLevel="0" collapsed="false">
      <c r="B274" s="12"/>
      <c r="C274" s="12"/>
      <c r="D274" s="12"/>
    </row>
    <row r="275" customFormat="false" ht="14.25" hidden="false" customHeight="true" outlineLevel="0" collapsed="false">
      <c r="B275" s="12"/>
      <c r="C275" s="12"/>
      <c r="D275" s="12"/>
    </row>
    <row r="276" customFormat="false" ht="14.25" hidden="false" customHeight="true" outlineLevel="0" collapsed="false">
      <c r="B276" s="12"/>
      <c r="C276" s="12"/>
      <c r="D276" s="12"/>
    </row>
    <row r="277" customFormat="false" ht="14.25" hidden="false" customHeight="true" outlineLevel="0" collapsed="false">
      <c r="B277" s="12"/>
      <c r="C277" s="12"/>
      <c r="D277" s="12"/>
    </row>
    <row r="278" customFormat="false" ht="14.25" hidden="false" customHeight="true" outlineLevel="0" collapsed="false">
      <c r="B278" s="12"/>
      <c r="C278" s="12"/>
      <c r="D278" s="12"/>
    </row>
    <row r="279" customFormat="false" ht="14.25" hidden="false" customHeight="true" outlineLevel="0" collapsed="false">
      <c r="B279" s="12"/>
      <c r="C279" s="12"/>
      <c r="D279" s="12"/>
    </row>
    <row r="280" customFormat="false" ht="14.25" hidden="false" customHeight="true" outlineLevel="0" collapsed="false">
      <c r="B280" s="12"/>
      <c r="C280" s="12"/>
      <c r="D280" s="12"/>
    </row>
    <row r="281" customFormat="false" ht="14.25" hidden="false" customHeight="true" outlineLevel="0" collapsed="false">
      <c r="B281" s="12"/>
      <c r="C281" s="12"/>
      <c r="D281" s="12"/>
    </row>
    <row r="282" customFormat="false" ht="14.25" hidden="false" customHeight="true" outlineLevel="0" collapsed="false">
      <c r="B282" s="12"/>
      <c r="C282" s="12"/>
      <c r="D282" s="12"/>
    </row>
    <row r="283" customFormat="false" ht="14.25" hidden="false" customHeight="true" outlineLevel="0" collapsed="false">
      <c r="B283" s="12"/>
      <c r="C283" s="12"/>
      <c r="D283" s="12"/>
    </row>
    <row r="284" customFormat="false" ht="14.25" hidden="false" customHeight="true" outlineLevel="0" collapsed="false">
      <c r="B284" s="12"/>
      <c r="C284" s="12"/>
      <c r="D284" s="12"/>
    </row>
    <row r="285" customFormat="false" ht="14.25" hidden="false" customHeight="true" outlineLevel="0" collapsed="false">
      <c r="B285" s="12"/>
      <c r="C285" s="12"/>
      <c r="D285" s="12"/>
    </row>
    <row r="286" customFormat="false" ht="14.25" hidden="false" customHeight="true" outlineLevel="0" collapsed="false">
      <c r="B286" s="12"/>
      <c r="C286" s="12"/>
      <c r="D286" s="12"/>
    </row>
    <row r="287" customFormat="false" ht="14.25" hidden="false" customHeight="true" outlineLevel="0" collapsed="false">
      <c r="B287" s="12"/>
      <c r="C287" s="12"/>
      <c r="D287" s="12"/>
    </row>
    <row r="288" customFormat="false" ht="14.25" hidden="false" customHeight="true" outlineLevel="0" collapsed="false">
      <c r="B288" s="12"/>
      <c r="C288" s="12"/>
      <c r="D288" s="12"/>
    </row>
    <row r="289" customFormat="false" ht="14.25" hidden="false" customHeight="true" outlineLevel="0" collapsed="false">
      <c r="B289" s="12"/>
      <c r="C289" s="12"/>
      <c r="D289" s="12"/>
    </row>
    <row r="290" customFormat="false" ht="14.25" hidden="false" customHeight="true" outlineLevel="0" collapsed="false">
      <c r="B290" s="12"/>
      <c r="C290" s="12"/>
      <c r="D290" s="12"/>
    </row>
    <row r="291" customFormat="false" ht="14.25" hidden="false" customHeight="true" outlineLevel="0" collapsed="false">
      <c r="B291" s="12"/>
      <c r="C291" s="12"/>
      <c r="D291" s="12"/>
    </row>
    <row r="292" customFormat="false" ht="14.25" hidden="false" customHeight="true" outlineLevel="0" collapsed="false">
      <c r="B292" s="12"/>
      <c r="C292" s="12"/>
      <c r="D292" s="12"/>
    </row>
    <row r="293" customFormat="false" ht="14.25" hidden="false" customHeight="true" outlineLevel="0" collapsed="false">
      <c r="B293" s="12"/>
      <c r="C293" s="12"/>
      <c r="D293" s="12"/>
    </row>
    <row r="294" customFormat="false" ht="14.25" hidden="false" customHeight="true" outlineLevel="0" collapsed="false">
      <c r="B294" s="12"/>
      <c r="C294" s="12"/>
      <c r="D294" s="12"/>
    </row>
    <row r="295" customFormat="false" ht="14.25" hidden="false" customHeight="true" outlineLevel="0" collapsed="false">
      <c r="B295" s="12"/>
      <c r="C295" s="12"/>
      <c r="D295" s="12"/>
    </row>
    <row r="296" customFormat="false" ht="14.25" hidden="false" customHeight="true" outlineLevel="0" collapsed="false">
      <c r="B296" s="12"/>
      <c r="C296" s="12"/>
      <c r="D296" s="12"/>
    </row>
    <row r="297" customFormat="false" ht="14.25" hidden="false" customHeight="true" outlineLevel="0" collapsed="false">
      <c r="B297" s="12"/>
      <c r="C297" s="12"/>
      <c r="D297" s="12"/>
    </row>
    <row r="298" customFormat="false" ht="14.25" hidden="false" customHeight="true" outlineLevel="0" collapsed="false">
      <c r="B298" s="12"/>
      <c r="C298" s="12"/>
      <c r="D298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21" t="s">
        <v>210</v>
      </c>
      <c r="B1" s="21"/>
      <c r="C1" s="21"/>
      <c r="D1" s="21"/>
      <c r="E1" s="21"/>
      <c r="F1" s="21"/>
      <c r="G1" s="21"/>
    </row>
    <row r="2" customFormat="false" ht="42" hidden="false" customHeight="true" outlineLevel="0" collapsed="false">
      <c r="A2" s="3" t="s">
        <v>211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4" t="s">
        <v>2</v>
      </c>
      <c r="B3" s="4" t="s">
        <v>212</v>
      </c>
      <c r="C3" s="4" t="s">
        <v>213</v>
      </c>
      <c r="D3" s="4" t="s">
        <v>214</v>
      </c>
      <c r="E3" s="4" t="s">
        <v>215</v>
      </c>
      <c r="F3" s="4" t="s">
        <v>216</v>
      </c>
      <c r="G3" s="4" t="s">
        <v>13</v>
      </c>
    </row>
    <row r="4" customFormat="false" ht="33.75" hidden="false" customHeight="true" outlineLevel="0" collapsed="false">
      <c r="A4" s="5" t="s">
        <v>14</v>
      </c>
      <c r="B4" s="5" t="n">
        <v>10</v>
      </c>
      <c r="C4" s="5" t="n">
        <v>0</v>
      </c>
      <c r="D4" s="5" t="n">
        <v>5</v>
      </c>
      <c r="E4" s="5" t="n">
        <v>5</v>
      </c>
      <c r="F4" s="5" t="n">
        <v>0</v>
      </c>
      <c r="G4" s="5" t="s">
        <v>217</v>
      </c>
    </row>
    <row r="5" customFormat="false" ht="33.75" hidden="false" customHeight="true" outlineLevel="0" collapsed="false">
      <c r="A5" s="5" t="s">
        <v>23</v>
      </c>
      <c r="B5" s="5" t="n">
        <v>7</v>
      </c>
      <c r="C5" s="5" t="n">
        <v>0</v>
      </c>
      <c r="D5" s="5" t="n">
        <v>5</v>
      </c>
      <c r="E5" s="5" t="n">
        <v>5</v>
      </c>
      <c r="F5" s="5" t="n">
        <v>0</v>
      </c>
      <c r="G5" s="5" t="s">
        <v>218</v>
      </c>
    </row>
    <row r="6" customFormat="false" ht="33.75" hidden="false" customHeight="true" outlineLevel="0" collapsed="false">
      <c r="A6" s="5" t="s">
        <v>30</v>
      </c>
      <c r="B6" s="5" t="n">
        <v>12</v>
      </c>
      <c r="C6" s="5" t="n">
        <v>0</v>
      </c>
      <c r="D6" s="5" t="n">
        <v>5</v>
      </c>
      <c r="E6" s="5" t="n">
        <v>5</v>
      </c>
      <c r="F6" s="5" t="n">
        <v>0</v>
      </c>
      <c r="G6" s="5" t="s">
        <v>219</v>
      </c>
    </row>
    <row r="7" customFormat="false" ht="33.75" hidden="false" customHeight="true" outlineLevel="0" collapsed="false">
      <c r="A7" s="5" t="s">
        <v>35</v>
      </c>
      <c r="B7" s="5" t="n">
        <v>12</v>
      </c>
      <c r="C7" s="5" t="n">
        <v>0</v>
      </c>
      <c r="D7" s="5" t="n">
        <v>5</v>
      </c>
      <c r="E7" s="5" t="n">
        <v>5</v>
      </c>
      <c r="F7" s="5" t="n">
        <v>0</v>
      </c>
      <c r="G7" s="5" t="s">
        <v>220</v>
      </c>
    </row>
    <row r="8" customFormat="false" ht="33.75" hidden="false" customHeight="true" outlineLevel="0" collapsed="false">
      <c r="A8" s="5" t="s">
        <v>40</v>
      </c>
      <c r="B8" s="5" t="n">
        <v>20</v>
      </c>
      <c r="C8" s="5" t="n">
        <v>0</v>
      </c>
      <c r="D8" s="5" t="n">
        <v>5</v>
      </c>
      <c r="E8" s="5" t="n">
        <v>5</v>
      </c>
      <c r="F8" s="5" t="n">
        <v>0</v>
      </c>
      <c r="G8" s="5" t="s">
        <v>221</v>
      </c>
    </row>
    <row r="9" customFormat="false" ht="33.75" hidden="false" customHeight="true" outlineLevel="0" collapsed="false">
      <c r="A9" s="5" t="s">
        <v>44</v>
      </c>
      <c r="B9" s="5" t="n">
        <v>10</v>
      </c>
      <c r="C9" s="5" t="n">
        <v>0</v>
      </c>
      <c r="D9" s="5" t="n">
        <v>5</v>
      </c>
      <c r="E9" s="5" t="n">
        <v>5</v>
      </c>
      <c r="F9" s="5" t="n">
        <v>0</v>
      </c>
      <c r="G9" s="5" t="s">
        <v>222</v>
      </c>
    </row>
    <row r="10" customFormat="false" ht="33.75" hidden="false" customHeight="true" outlineLevel="0" collapsed="false">
      <c r="A10" s="5" t="s">
        <v>223</v>
      </c>
      <c r="B10" s="5" t="n">
        <v>7</v>
      </c>
      <c r="C10" s="5" t="n">
        <v>0</v>
      </c>
      <c r="D10" s="5" t="n">
        <v>5</v>
      </c>
      <c r="E10" s="5" t="n">
        <v>5</v>
      </c>
      <c r="F10" s="5" t="n">
        <v>0</v>
      </c>
      <c r="G10" s="5" t="s">
        <v>224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1" t="s">
        <v>225</v>
      </c>
      <c r="B1" s="21"/>
      <c r="C1" s="21"/>
      <c r="D1" s="21"/>
    </row>
    <row r="2" customFormat="false" ht="42" hidden="false" customHeight="true" outlineLevel="0" collapsed="false">
      <c r="A2" s="3" t="s">
        <v>226</v>
      </c>
      <c r="B2" s="3"/>
      <c r="C2" s="3"/>
      <c r="D2" s="3"/>
    </row>
    <row r="3" customFormat="false" ht="15" hidden="false" customHeight="true" outlineLevel="0" collapsed="false">
      <c r="A3" s="4" t="s">
        <v>227</v>
      </c>
      <c r="B3" s="4" t="s">
        <v>228</v>
      </c>
      <c r="C3" s="4" t="s">
        <v>229</v>
      </c>
      <c r="D3" s="4" t="s">
        <v>13</v>
      </c>
    </row>
    <row r="4" customFormat="false" ht="33.75" hidden="false" customHeight="true" outlineLevel="0" collapsed="false">
      <c r="A4" s="5" t="s">
        <v>230</v>
      </c>
      <c r="B4" s="9" t="n">
        <v>15.7</v>
      </c>
      <c r="C4" s="9" t="s">
        <v>186</v>
      </c>
      <c r="D4" s="9" t="s">
        <v>231</v>
      </c>
      <c r="E4" s="12"/>
    </row>
    <row r="5" customFormat="false" ht="33.75" hidden="false" customHeight="true" outlineLevel="0" collapsed="false">
      <c r="A5" s="5" t="s">
        <v>232</v>
      </c>
      <c r="B5" s="9" t="n">
        <v>25</v>
      </c>
      <c r="C5" s="9" t="s">
        <v>186</v>
      </c>
      <c r="D5" s="9" t="s">
        <v>231</v>
      </c>
      <c r="E5" s="12"/>
    </row>
    <row r="6" customFormat="false" ht="33.75" hidden="false" customHeight="true" outlineLevel="0" collapsed="false">
      <c r="A6" s="5" t="s">
        <v>233</v>
      </c>
      <c r="B6" s="9" t="n">
        <v>18</v>
      </c>
      <c r="C6" s="9" t="s">
        <v>186</v>
      </c>
      <c r="D6" s="9" t="s">
        <v>231</v>
      </c>
      <c r="E6" s="12"/>
    </row>
    <row r="7" customFormat="false" ht="14.25" hidden="false" customHeight="true" outlineLevel="0" collapsed="false">
      <c r="B7" s="12"/>
      <c r="C7" s="12"/>
      <c r="D7" s="12"/>
      <c r="E7" s="12"/>
    </row>
    <row r="8" customFormat="false" ht="14.25" hidden="false" customHeight="true" outlineLevel="0" collapsed="false">
      <c r="B8" s="12"/>
      <c r="C8" s="12"/>
      <c r="D8" s="12"/>
      <c r="E8" s="12"/>
    </row>
    <row r="9" customFormat="false" ht="14.25" hidden="false" customHeight="true" outlineLevel="0" collapsed="false">
      <c r="B9" s="12"/>
      <c r="C9" s="12"/>
      <c r="D9" s="12"/>
      <c r="E9" s="12"/>
    </row>
    <row r="10" customFormat="false" ht="14.25" hidden="false" customHeight="true" outlineLevel="0" collapsed="false">
      <c r="B10" s="12"/>
      <c r="C10" s="12"/>
      <c r="D10" s="12"/>
      <c r="E10" s="12"/>
    </row>
    <row r="11" customFormat="false" ht="14.25" hidden="false" customHeight="true" outlineLevel="0" collapsed="false">
      <c r="B11" s="12"/>
      <c r="C11" s="12"/>
      <c r="D11" s="12"/>
      <c r="E11" s="12"/>
    </row>
    <row r="12" customFormat="false" ht="14.25" hidden="false" customHeight="true" outlineLevel="0" collapsed="false">
      <c r="B12" s="12"/>
      <c r="C12" s="12"/>
      <c r="D12" s="12"/>
      <c r="E12" s="12"/>
    </row>
    <row r="13" customFormat="false" ht="14.25" hidden="false" customHeight="true" outlineLevel="0" collapsed="false">
      <c r="B13" s="12"/>
      <c r="C13" s="12"/>
      <c r="D13" s="12"/>
      <c r="E13" s="12"/>
    </row>
    <row r="14" customFormat="false" ht="14.25" hidden="false" customHeight="true" outlineLevel="0" collapsed="false">
      <c r="B14" s="12"/>
      <c r="C14" s="12"/>
      <c r="D14" s="12"/>
      <c r="E14" s="12"/>
    </row>
    <row r="15" customFormat="false" ht="14.25" hidden="false" customHeight="true" outlineLevel="0" collapsed="false">
      <c r="B15" s="12"/>
      <c r="C15" s="12"/>
      <c r="D15" s="12"/>
      <c r="E15" s="12"/>
    </row>
    <row r="16" customFormat="false" ht="14.25" hidden="false" customHeight="true" outlineLevel="0" collapsed="false">
      <c r="B16" s="12"/>
      <c r="C16" s="12"/>
      <c r="D16" s="12"/>
      <c r="E16" s="12"/>
    </row>
    <row r="17" customFormat="false" ht="14.25" hidden="false" customHeight="true" outlineLevel="0" collapsed="false">
      <c r="B17" s="12"/>
      <c r="C17" s="12"/>
      <c r="D17" s="12"/>
      <c r="E17" s="12"/>
    </row>
    <row r="18" customFormat="false" ht="14.25" hidden="false" customHeight="true" outlineLevel="0" collapsed="false">
      <c r="B18" s="12"/>
      <c r="C18" s="12"/>
      <c r="D18" s="12"/>
      <c r="E18" s="12"/>
    </row>
    <row r="19" customFormat="false" ht="14.25" hidden="false" customHeight="true" outlineLevel="0" collapsed="false">
      <c r="B19" s="12"/>
      <c r="C19" s="12"/>
      <c r="D19" s="12"/>
      <c r="E19" s="12"/>
    </row>
    <row r="20" customFormat="false" ht="14.25" hidden="false" customHeight="true" outlineLevel="0" collapsed="false">
      <c r="B20" s="12"/>
      <c r="C20" s="12"/>
      <c r="D20" s="12"/>
      <c r="E20" s="12"/>
    </row>
    <row r="21" customFormat="false" ht="14.25" hidden="false" customHeight="true" outlineLevel="0" collapsed="false">
      <c r="B21" s="12"/>
      <c r="C21" s="12"/>
      <c r="D21" s="12"/>
      <c r="E21" s="12"/>
    </row>
    <row r="22" customFormat="false" ht="14.25" hidden="false" customHeight="true" outlineLevel="0" collapsed="false">
      <c r="B22" s="12"/>
      <c r="C22" s="12"/>
      <c r="D22" s="12"/>
      <c r="E22" s="12"/>
    </row>
    <row r="23" customFormat="false" ht="14.25" hidden="false" customHeight="true" outlineLevel="0" collapsed="false">
      <c r="B23" s="12"/>
      <c r="C23" s="12"/>
      <c r="D23" s="12"/>
      <c r="E23" s="12"/>
    </row>
    <row r="24" customFormat="false" ht="14.25" hidden="false" customHeight="true" outlineLevel="0" collapsed="false">
      <c r="B24" s="12"/>
      <c r="C24" s="12"/>
      <c r="D24" s="12"/>
      <c r="E24" s="12"/>
    </row>
    <row r="25" customFormat="false" ht="14.25" hidden="false" customHeight="true" outlineLevel="0" collapsed="false">
      <c r="B25" s="12"/>
      <c r="C25" s="12"/>
      <c r="D25" s="12"/>
      <c r="E25" s="12"/>
    </row>
    <row r="26" customFormat="false" ht="14.25" hidden="false" customHeight="true" outlineLevel="0" collapsed="false">
      <c r="B26" s="12"/>
      <c r="C26" s="12"/>
      <c r="D26" s="12"/>
      <c r="E26" s="12"/>
    </row>
    <row r="27" customFormat="false" ht="14.25" hidden="false" customHeight="true" outlineLevel="0" collapsed="false">
      <c r="B27" s="12"/>
      <c r="C27" s="12"/>
      <c r="D27" s="12"/>
      <c r="E27" s="12"/>
    </row>
    <row r="28" customFormat="false" ht="14.25" hidden="false" customHeight="true" outlineLevel="0" collapsed="false">
      <c r="B28" s="12"/>
      <c r="C28" s="12"/>
      <c r="D28" s="12"/>
      <c r="E28" s="12"/>
    </row>
    <row r="29" customFormat="false" ht="14.25" hidden="false" customHeight="true" outlineLevel="0" collapsed="false">
      <c r="B29" s="12"/>
      <c r="C29" s="12"/>
      <c r="D29" s="12"/>
      <c r="E29" s="12"/>
    </row>
    <row r="30" customFormat="false" ht="14.25" hidden="false" customHeight="true" outlineLevel="0" collapsed="false">
      <c r="B30" s="12"/>
      <c r="C30" s="12"/>
      <c r="D30" s="12"/>
      <c r="E30" s="12"/>
    </row>
    <row r="31" customFormat="false" ht="14.25" hidden="false" customHeight="true" outlineLevel="0" collapsed="false">
      <c r="B31" s="12"/>
      <c r="C31" s="12"/>
      <c r="D31" s="12"/>
      <c r="E31" s="12"/>
    </row>
    <row r="32" customFormat="false" ht="14.25" hidden="false" customHeight="true" outlineLevel="0" collapsed="false">
      <c r="B32" s="12"/>
      <c r="C32" s="12"/>
      <c r="D32" s="12"/>
      <c r="E32" s="12"/>
    </row>
    <row r="33" customFormat="false" ht="14.25" hidden="false" customHeight="true" outlineLevel="0" collapsed="false">
      <c r="B33" s="12"/>
      <c r="C33" s="12"/>
      <c r="D33" s="12"/>
      <c r="E33" s="12"/>
    </row>
    <row r="34" customFormat="false" ht="14.25" hidden="false" customHeight="true" outlineLevel="0" collapsed="false">
      <c r="B34" s="12"/>
      <c r="C34" s="12"/>
      <c r="D34" s="12"/>
      <c r="E34" s="12"/>
    </row>
    <row r="35" customFormat="false" ht="14.25" hidden="false" customHeight="true" outlineLevel="0" collapsed="false">
      <c r="B35" s="12"/>
      <c r="C35" s="12"/>
      <c r="D35" s="12"/>
      <c r="E35" s="12"/>
    </row>
    <row r="36" customFormat="false" ht="14.25" hidden="false" customHeight="true" outlineLevel="0" collapsed="false">
      <c r="B36" s="12"/>
      <c r="C36" s="12"/>
      <c r="D36" s="12"/>
      <c r="E36" s="12"/>
    </row>
    <row r="37" customFormat="false" ht="14.25" hidden="false" customHeight="true" outlineLevel="0" collapsed="false">
      <c r="B37" s="12"/>
      <c r="C37" s="12"/>
      <c r="D37" s="12"/>
      <c r="E37" s="12"/>
    </row>
    <row r="38" customFormat="false" ht="14.25" hidden="false" customHeight="true" outlineLevel="0" collapsed="false">
      <c r="B38" s="12"/>
      <c r="C38" s="12"/>
      <c r="D38" s="12"/>
      <c r="E38" s="12"/>
    </row>
    <row r="39" customFormat="false" ht="14.25" hidden="false" customHeight="true" outlineLevel="0" collapsed="false">
      <c r="B39" s="12"/>
      <c r="C39" s="12"/>
      <c r="D39" s="12"/>
      <c r="E39" s="12"/>
    </row>
    <row r="40" customFormat="false" ht="14.25" hidden="false" customHeight="true" outlineLevel="0" collapsed="false">
      <c r="B40" s="12"/>
      <c r="C40" s="12"/>
      <c r="D40" s="12"/>
      <c r="E40" s="12"/>
    </row>
    <row r="41" customFormat="false" ht="14.25" hidden="false" customHeight="true" outlineLevel="0" collapsed="false">
      <c r="B41" s="12"/>
      <c r="C41" s="12"/>
      <c r="D41" s="12"/>
      <c r="E41" s="12"/>
    </row>
    <row r="42" customFormat="false" ht="14.25" hidden="false" customHeight="true" outlineLevel="0" collapsed="false">
      <c r="B42" s="12"/>
      <c r="C42" s="12"/>
      <c r="D42" s="12"/>
      <c r="E42" s="12"/>
    </row>
    <row r="43" customFormat="false" ht="14.25" hidden="false" customHeight="true" outlineLevel="0" collapsed="false">
      <c r="B43" s="12"/>
      <c r="C43" s="12"/>
      <c r="D43" s="12"/>
      <c r="E43" s="12"/>
    </row>
    <row r="44" customFormat="false" ht="14.25" hidden="false" customHeight="true" outlineLevel="0" collapsed="false">
      <c r="B44" s="12"/>
      <c r="C44" s="12"/>
      <c r="D44" s="12"/>
      <c r="E44" s="12"/>
    </row>
    <row r="45" customFormat="false" ht="14.25" hidden="false" customHeight="true" outlineLevel="0" collapsed="false">
      <c r="B45" s="12"/>
      <c r="C45" s="12"/>
      <c r="D45" s="12"/>
      <c r="E45" s="12"/>
    </row>
    <row r="46" customFormat="false" ht="14.25" hidden="false" customHeight="true" outlineLevel="0" collapsed="false">
      <c r="B46" s="12"/>
      <c r="C46" s="12"/>
      <c r="D46" s="12"/>
      <c r="E46" s="12"/>
    </row>
    <row r="47" customFormat="false" ht="14.25" hidden="false" customHeight="true" outlineLevel="0" collapsed="false">
      <c r="B47" s="12"/>
      <c r="C47" s="12"/>
      <c r="D47" s="12"/>
      <c r="E47" s="12"/>
    </row>
    <row r="48" customFormat="false" ht="14.25" hidden="false" customHeight="true" outlineLevel="0" collapsed="false">
      <c r="B48" s="12"/>
      <c r="C48" s="12"/>
      <c r="D48" s="12"/>
      <c r="E48" s="12"/>
    </row>
    <row r="49" customFormat="false" ht="14.25" hidden="false" customHeight="true" outlineLevel="0" collapsed="false">
      <c r="B49" s="12"/>
      <c r="C49" s="12"/>
      <c r="D49" s="12"/>
      <c r="E49" s="12"/>
    </row>
    <row r="50" customFormat="false" ht="14.25" hidden="false" customHeight="true" outlineLevel="0" collapsed="false">
      <c r="B50" s="12"/>
      <c r="C50" s="12"/>
      <c r="D50" s="12"/>
      <c r="E50" s="12"/>
    </row>
    <row r="51" customFormat="false" ht="14.25" hidden="false" customHeight="true" outlineLevel="0" collapsed="false">
      <c r="B51" s="12"/>
      <c r="C51" s="12"/>
      <c r="D51" s="12"/>
      <c r="E51" s="12"/>
    </row>
    <row r="52" customFormat="false" ht="14.25" hidden="false" customHeight="true" outlineLevel="0" collapsed="false">
      <c r="B52" s="12"/>
      <c r="C52" s="12"/>
      <c r="D52" s="12"/>
      <c r="E52" s="12"/>
    </row>
    <row r="53" customFormat="false" ht="14.25" hidden="false" customHeight="true" outlineLevel="0" collapsed="false">
      <c r="B53" s="12"/>
      <c r="C53" s="12"/>
      <c r="D53" s="12"/>
      <c r="E53" s="12"/>
    </row>
    <row r="54" customFormat="false" ht="14.25" hidden="false" customHeight="true" outlineLevel="0" collapsed="false">
      <c r="B54" s="12"/>
      <c r="C54" s="12"/>
      <c r="D54" s="12"/>
      <c r="E54" s="12"/>
    </row>
    <row r="55" customFormat="false" ht="14.25" hidden="false" customHeight="true" outlineLevel="0" collapsed="false">
      <c r="B55" s="12"/>
      <c r="C55" s="12"/>
      <c r="D55" s="12"/>
      <c r="E55" s="12"/>
    </row>
    <row r="56" customFormat="false" ht="14.25" hidden="false" customHeight="true" outlineLevel="0" collapsed="false">
      <c r="B56" s="12"/>
      <c r="C56" s="12"/>
      <c r="D56" s="12"/>
      <c r="E56" s="12"/>
    </row>
    <row r="57" customFormat="false" ht="14.25" hidden="false" customHeight="true" outlineLevel="0" collapsed="false">
      <c r="B57" s="12"/>
      <c r="C57" s="12"/>
      <c r="D57" s="12"/>
      <c r="E57" s="12"/>
    </row>
    <row r="58" customFormat="false" ht="14.25" hidden="false" customHeight="true" outlineLevel="0" collapsed="false">
      <c r="B58" s="12"/>
      <c r="C58" s="12"/>
      <c r="D58" s="12"/>
      <c r="E58" s="12"/>
    </row>
    <row r="59" customFormat="false" ht="14.25" hidden="false" customHeight="true" outlineLevel="0" collapsed="false">
      <c r="B59" s="12"/>
      <c r="C59" s="12"/>
      <c r="D59" s="12"/>
      <c r="E59" s="12"/>
    </row>
    <row r="60" customFormat="false" ht="14.25" hidden="false" customHeight="true" outlineLevel="0" collapsed="false">
      <c r="B60" s="12"/>
      <c r="C60" s="12"/>
      <c r="D60" s="12"/>
      <c r="E60" s="12"/>
    </row>
    <row r="61" customFormat="false" ht="14.25" hidden="false" customHeight="true" outlineLevel="0" collapsed="false">
      <c r="B61" s="12"/>
      <c r="C61" s="12"/>
      <c r="D61" s="12"/>
      <c r="E61" s="12"/>
    </row>
    <row r="62" customFormat="false" ht="14.25" hidden="false" customHeight="true" outlineLevel="0" collapsed="false">
      <c r="B62" s="12"/>
      <c r="C62" s="12"/>
      <c r="D62" s="12"/>
      <c r="E62" s="12"/>
    </row>
    <row r="63" customFormat="false" ht="14.25" hidden="false" customHeight="true" outlineLevel="0" collapsed="false">
      <c r="B63" s="12"/>
      <c r="C63" s="12"/>
      <c r="D63" s="12"/>
      <c r="E63" s="12"/>
    </row>
    <row r="64" customFormat="false" ht="14.25" hidden="false" customHeight="true" outlineLevel="0" collapsed="false">
      <c r="B64" s="12"/>
      <c r="C64" s="12"/>
      <c r="D64" s="12"/>
      <c r="E64" s="12"/>
    </row>
    <row r="65" customFormat="false" ht="14.25" hidden="false" customHeight="true" outlineLevel="0" collapsed="false">
      <c r="B65" s="12"/>
      <c r="C65" s="12"/>
      <c r="D65" s="12"/>
      <c r="E65" s="12"/>
    </row>
    <row r="66" customFormat="false" ht="14.25" hidden="false" customHeight="true" outlineLevel="0" collapsed="false">
      <c r="B66" s="12"/>
      <c r="C66" s="12"/>
      <c r="D66" s="12"/>
      <c r="E66" s="12"/>
    </row>
    <row r="67" customFormat="false" ht="14.25" hidden="false" customHeight="true" outlineLevel="0" collapsed="false">
      <c r="B67" s="12"/>
      <c r="C67" s="12"/>
      <c r="D67" s="12"/>
      <c r="E67" s="12"/>
    </row>
    <row r="68" customFormat="false" ht="14.25" hidden="false" customHeight="true" outlineLevel="0" collapsed="false">
      <c r="B68" s="12"/>
      <c r="C68" s="12"/>
      <c r="D68" s="12"/>
      <c r="E68" s="12"/>
    </row>
    <row r="69" customFormat="false" ht="14.25" hidden="false" customHeight="true" outlineLevel="0" collapsed="false">
      <c r="B69" s="12"/>
      <c r="C69" s="12"/>
      <c r="D69" s="12"/>
      <c r="E69" s="12"/>
    </row>
    <row r="70" customFormat="false" ht="14.25" hidden="false" customHeight="true" outlineLevel="0" collapsed="false">
      <c r="B70" s="12"/>
      <c r="C70" s="12"/>
      <c r="D70" s="12"/>
      <c r="E70" s="12"/>
    </row>
    <row r="71" customFormat="false" ht="14.25" hidden="false" customHeight="true" outlineLevel="0" collapsed="false">
      <c r="B71" s="12"/>
      <c r="C71" s="12"/>
      <c r="D71" s="12"/>
      <c r="E71" s="12"/>
    </row>
    <row r="72" customFormat="false" ht="14.25" hidden="false" customHeight="true" outlineLevel="0" collapsed="false">
      <c r="B72" s="12"/>
      <c r="C72" s="12"/>
      <c r="D72" s="12"/>
      <c r="E72" s="12"/>
    </row>
    <row r="73" customFormat="false" ht="14.25" hidden="false" customHeight="true" outlineLevel="0" collapsed="false">
      <c r="B73" s="12"/>
      <c r="C73" s="12"/>
      <c r="D73" s="12"/>
      <c r="E73" s="12"/>
    </row>
    <row r="74" customFormat="false" ht="14.25" hidden="false" customHeight="true" outlineLevel="0" collapsed="false">
      <c r="B74" s="12"/>
      <c r="C74" s="12"/>
      <c r="D74" s="12"/>
      <c r="E74" s="12"/>
    </row>
    <row r="75" customFormat="false" ht="14.25" hidden="false" customHeight="true" outlineLevel="0" collapsed="false">
      <c r="B75" s="12"/>
      <c r="C75" s="12"/>
      <c r="D75" s="12"/>
      <c r="E75" s="12"/>
    </row>
    <row r="76" customFormat="false" ht="14.25" hidden="false" customHeight="true" outlineLevel="0" collapsed="false">
      <c r="B76" s="12"/>
      <c r="C76" s="12"/>
      <c r="D76" s="12"/>
      <c r="E76" s="12"/>
    </row>
    <row r="77" customFormat="false" ht="14.25" hidden="false" customHeight="true" outlineLevel="0" collapsed="false">
      <c r="B77" s="12"/>
      <c r="C77" s="12"/>
      <c r="D77" s="12"/>
      <c r="E77" s="12"/>
    </row>
    <row r="78" customFormat="false" ht="14.25" hidden="false" customHeight="true" outlineLevel="0" collapsed="false">
      <c r="B78" s="12"/>
      <c r="C78" s="12"/>
      <c r="D78" s="12"/>
      <c r="E78" s="12"/>
    </row>
    <row r="79" customFormat="false" ht="14.25" hidden="false" customHeight="true" outlineLevel="0" collapsed="false">
      <c r="B79" s="12"/>
      <c r="C79" s="12"/>
      <c r="D79" s="12"/>
      <c r="E79" s="12"/>
    </row>
    <row r="80" customFormat="false" ht="14.25" hidden="false" customHeight="true" outlineLevel="0" collapsed="false">
      <c r="B80" s="12"/>
      <c r="C80" s="12"/>
      <c r="D80" s="12"/>
      <c r="E80" s="12"/>
    </row>
    <row r="81" customFormat="false" ht="14.25" hidden="false" customHeight="true" outlineLevel="0" collapsed="false">
      <c r="B81" s="12"/>
      <c r="C81" s="12"/>
      <c r="D81" s="12"/>
      <c r="E81" s="12"/>
    </row>
    <row r="82" customFormat="false" ht="14.25" hidden="false" customHeight="true" outlineLevel="0" collapsed="false">
      <c r="B82" s="12"/>
      <c r="C82" s="12"/>
      <c r="D82" s="12"/>
      <c r="E82" s="12"/>
    </row>
    <row r="83" customFormat="false" ht="14.25" hidden="false" customHeight="true" outlineLevel="0" collapsed="false">
      <c r="B83" s="12"/>
      <c r="C83" s="12"/>
      <c r="D83" s="12"/>
      <c r="E83" s="12"/>
    </row>
    <row r="84" customFormat="false" ht="14.25" hidden="false" customHeight="true" outlineLevel="0" collapsed="false">
      <c r="B84" s="12"/>
      <c r="C84" s="12"/>
      <c r="D84" s="12"/>
      <c r="E84" s="12"/>
    </row>
    <row r="85" customFormat="false" ht="14.25" hidden="false" customHeight="true" outlineLevel="0" collapsed="false">
      <c r="B85" s="12"/>
      <c r="C85" s="12"/>
      <c r="D85" s="12"/>
      <c r="E85" s="12"/>
    </row>
    <row r="86" customFormat="false" ht="14.25" hidden="false" customHeight="true" outlineLevel="0" collapsed="false">
      <c r="B86" s="12"/>
      <c r="C86" s="12"/>
      <c r="D86" s="12"/>
      <c r="E86" s="12"/>
    </row>
    <row r="87" customFormat="false" ht="14.25" hidden="false" customHeight="true" outlineLevel="0" collapsed="false">
      <c r="B87" s="12"/>
      <c r="C87" s="12"/>
      <c r="D87" s="12"/>
      <c r="E87" s="12"/>
    </row>
    <row r="88" customFormat="false" ht="14.25" hidden="false" customHeight="true" outlineLevel="0" collapsed="false">
      <c r="B88" s="12"/>
      <c r="C88" s="12"/>
      <c r="D88" s="12"/>
      <c r="E88" s="12"/>
    </row>
    <row r="89" customFormat="false" ht="14.25" hidden="false" customHeight="true" outlineLevel="0" collapsed="false">
      <c r="B89" s="12"/>
      <c r="C89" s="12"/>
      <c r="D89" s="12"/>
      <c r="E89" s="12"/>
    </row>
    <row r="90" customFormat="false" ht="14.25" hidden="false" customHeight="true" outlineLevel="0" collapsed="false">
      <c r="B90" s="12"/>
      <c r="C90" s="12"/>
      <c r="D90" s="12"/>
      <c r="E90" s="12"/>
    </row>
    <row r="91" customFormat="false" ht="14.25" hidden="false" customHeight="true" outlineLevel="0" collapsed="false">
      <c r="B91" s="12"/>
      <c r="C91" s="12"/>
      <c r="D91" s="12"/>
      <c r="E91" s="12"/>
    </row>
    <row r="92" customFormat="false" ht="14.25" hidden="false" customHeight="true" outlineLevel="0" collapsed="false">
      <c r="B92" s="12"/>
      <c r="C92" s="12"/>
      <c r="D92" s="12"/>
      <c r="E92" s="12"/>
    </row>
    <row r="93" customFormat="false" ht="14.25" hidden="false" customHeight="true" outlineLevel="0" collapsed="false">
      <c r="B93" s="12"/>
      <c r="C93" s="12"/>
      <c r="D93" s="12"/>
      <c r="E93" s="12"/>
    </row>
    <row r="94" customFormat="false" ht="14.25" hidden="false" customHeight="true" outlineLevel="0" collapsed="false">
      <c r="B94" s="12"/>
      <c r="C94" s="12"/>
      <c r="D94" s="12"/>
      <c r="E94" s="12"/>
    </row>
    <row r="95" customFormat="false" ht="14.25" hidden="false" customHeight="true" outlineLevel="0" collapsed="false">
      <c r="B95" s="12"/>
      <c r="C95" s="12"/>
      <c r="D95" s="12"/>
      <c r="E95" s="12"/>
    </row>
    <row r="96" customFormat="false" ht="14.25" hidden="false" customHeight="true" outlineLevel="0" collapsed="false">
      <c r="B96" s="12"/>
      <c r="C96" s="12"/>
      <c r="D96" s="12"/>
      <c r="E96" s="12"/>
    </row>
    <row r="97" customFormat="false" ht="14.25" hidden="false" customHeight="true" outlineLevel="0" collapsed="false">
      <c r="B97" s="12"/>
      <c r="C97" s="12"/>
      <c r="D97" s="12"/>
      <c r="E97" s="12"/>
    </row>
    <row r="98" customFormat="false" ht="14.25" hidden="false" customHeight="true" outlineLevel="0" collapsed="false">
      <c r="B98" s="12"/>
      <c r="C98" s="12"/>
      <c r="D98" s="12"/>
      <c r="E98" s="12"/>
    </row>
    <row r="99" customFormat="false" ht="14.25" hidden="false" customHeight="true" outlineLevel="0" collapsed="false">
      <c r="B99" s="12"/>
      <c r="C99" s="12"/>
      <c r="D99" s="12"/>
      <c r="E99" s="12"/>
    </row>
    <row r="100" customFormat="false" ht="14.25" hidden="false" customHeight="true" outlineLevel="0" collapsed="false">
      <c r="B100" s="12"/>
      <c r="C100" s="12"/>
      <c r="D100" s="12"/>
      <c r="E100" s="12"/>
    </row>
    <row r="101" customFormat="false" ht="14.25" hidden="false" customHeight="true" outlineLevel="0" collapsed="false">
      <c r="B101" s="12"/>
      <c r="C101" s="12"/>
      <c r="D101" s="12"/>
      <c r="E101" s="12"/>
    </row>
    <row r="102" customFormat="false" ht="14.25" hidden="false" customHeight="true" outlineLevel="0" collapsed="false">
      <c r="B102" s="12"/>
      <c r="C102" s="12"/>
      <c r="D102" s="12"/>
      <c r="E102" s="12"/>
    </row>
    <row r="103" customFormat="false" ht="14.25" hidden="false" customHeight="true" outlineLevel="0" collapsed="false">
      <c r="B103" s="12"/>
      <c r="C103" s="12"/>
      <c r="D103" s="12"/>
      <c r="E103" s="12"/>
    </row>
    <row r="104" customFormat="false" ht="14.25" hidden="false" customHeight="true" outlineLevel="0" collapsed="false">
      <c r="B104" s="12"/>
      <c r="C104" s="12"/>
      <c r="D104" s="12"/>
      <c r="E104" s="12"/>
    </row>
    <row r="105" customFormat="false" ht="14.25" hidden="false" customHeight="true" outlineLevel="0" collapsed="false">
      <c r="B105" s="12"/>
      <c r="C105" s="12"/>
      <c r="D105" s="12"/>
      <c r="E105" s="12"/>
    </row>
    <row r="106" customFormat="false" ht="14.25" hidden="false" customHeight="true" outlineLevel="0" collapsed="false">
      <c r="B106" s="12"/>
      <c r="C106" s="12"/>
      <c r="D106" s="12"/>
      <c r="E106" s="12"/>
    </row>
    <row r="107" customFormat="false" ht="14.25" hidden="false" customHeight="true" outlineLevel="0" collapsed="false">
      <c r="B107" s="12"/>
      <c r="C107" s="12"/>
      <c r="D107" s="12"/>
      <c r="E107" s="12"/>
    </row>
    <row r="108" customFormat="false" ht="14.25" hidden="false" customHeight="true" outlineLevel="0" collapsed="false">
      <c r="B108" s="12"/>
      <c r="C108" s="12"/>
      <c r="D108" s="12"/>
      <c r="E108" s="12"/>
    </row>
    <row r="109" customFormat="false" ht="14.25" hidden="false" customHeight="true" outlineLevel="0" collapsed="false">
      <c r="B109" s="12"/>
      <c r="C109" s="12"/>
      <c r="D109" s="12"/>
      <c r="E109" s="12"/>
    </row>
    <row r="110" customFormat="false" ht="14.25" hidden="false" customHeight="true" outlineLevel="0" collapsed="false">
      <c r="B110" s="12"/>
      <c r="C110" s="12"/>
      <c r="D110" s="12"/>
      <c r="E110" s="12"/>
    </row>
    <row r="111" customFormat="false" ht="14.25" hidden="false" customHeight="true" outlineLevel="0" collapsed="false">
      <c r="B111" s="12"/>
      <c r="C111" s="12"/>
      <c r="D111" s="12"/>
      <c r="E111" s="12"/>
    </row>
    <row r="112" customFormat="false" ht="14.25" hidden="false" customHeight="true" outlineLevel="0" collapsed="false">
      <c r="B112" s="12"/>
      <c r="C112" s="12"/>
      <c r="D112" s="12"/>
      <c r="E112" s="12"/>
    </row>
    <row r="113" customFormat="false" ht="14.25" hidden="false" customHeight="true" outlineLevel="0" collapsed="false">
      <c r="B113" s="12"/>
      <c r="C113" s="12"/>
      <c r="D113" s="12"/>
      <c r="E113" s="12"/>
    </row>
    <row r="114" customFormat="false" ht="14.25" hidden="false" customHeight="true" outlineLevel="0" collapsed="false">
      <c r="B114" s="12"/>
      <c r="C114" s="12"/>
      <c r="D114" s="12"/>
      <c r="E114" s="12"/>
    </row>
    <row r="115" customFormat="false" ht="14.25" hidden="false" customHeight="true" outlineLevel="0" collapsed="false">
      <c r="B115" s="12"/>
      <c r="C115" s="12"/>
      <c r="D115" s="12"/>
      <c r="E115" s="12"/>
    </row>
    <row r="116" customFormat="false" ht="14.25" hidden="false" customHeight="true" outlineLevel="0" collapsed="false">
      <c r="B116" s="12"/>
      <c r="C116" s="12"/>
      <c r="D116" s="12"/>
      <c r="E116" s="12"/>
    </row>
    <row r="117" customFormat="false" ht="14.25" hidden="false" customHeight="true" outlineLevel="0" collapsed="false">
      <c r="B117" s="12"/>
      <c r="C117" s="12"/>
      <c r="D117" s="12"/>
      <c r="E117" s="12"/>
    </row>
    <row r="118" customFormat="false" ht="14.25" hidden="false" customHeight="true" outlineLevel="0" collapsed="false">
      <c r="B118" s="12"/>
      <c r="C118" s="12"/>
      <c r="D118" s="12"/>
      <c r="E118" s="12"/>
    </row>
    <row r="119" customFormat="false" ht="14.25" hidden="false" customHeight="true" outlineLevel="0" collapsed="false">
      <c r="B119" s="12"/>
      <c r="C119" s="12"/>
      <c r="D119" s="12"/>
      <c r="E119" s="12"/>
    </row>
    <row r="120" customFormat="false" ht="14.25" hidden="false" customHeight="true" outlineLevel="0" collapsed="false">
      <c r="B120" s="12"/>
      <c r="C120" s="12"/>
      <c r="D120" s="12"/>
      <c r="E120" s="12"/>
    </row>
    <row r="121" customFormat="false" ht="14.25" hidden="false" customHeight="true" outlineLevel="0" collapsed="false">
      <c r="B121" s="12"/>
      <c r="C121" s="12"/>
      <c r="D121" s="12"/>
      <c r="E121" s="12"/>
    </row>
    <row r="122" customFormat="false" ht="14.25" hidden="false" customHeight="true" outlineLevel="0" collapsed="false">
      <c r="B122" s="12"/>
      <c r="C122" s="12"/>
      <c r="D122" s="12"/>
      <c r="E122" s="12"/>
    </row>
    <row r="123" customFormat="false" ht="14.25" hidden="false" customHeight="true" outlineLevel="0" collapsed="false">
      <c r="B123" s="12"/>
      <c r="C123" s="12"/>
      <c r="D123" s="12"/>
      <c r="E123" s="12"/>
    </row>
    <row r="124" customFormat="false" ht="14.25" hidden="false" customHeight="true" outlineLevel="0" collapsed="false">
      <c r="B124" s="12"/>
      <c r="C124" s="12"/>
      <c r="D124" s="12"/>
      <c r="E124" s="12"/>
    </row>
    <row r="125" customFormat="false" ht="14.25" hidden="false" customHeight="true" outlineLevel="0" collapsed="false">
      <c r="B125" s="12"/>
      <c r="C125" s="12"/>
      <c r="D125" s="12"/>
      <c r="E125" s="12"/>
    </row>
    <row r="126" customFormat="false" ht="14.25" hidden="false" customHeight="true" outlineLevel="0" collapsed="false">
      <c r="B126" s="12"/>
      <c r="C126" s="12"/>
      <c r="D126" s="12"/>
      <c r="E126" s="12"/>
    </row>
    <row r="127" customFormat="false" ht="14.25" hidden="false" customHeight="true" outlineLevel="0" collapsed="false">
      <c r="B127" s="12"/>
      <c r="C127" s="12"/>
      <c r="D127" s="12"/>
      <c r="E127" s="12"/>
    </row>
    <row r="128" customFormat="false" ht="14.25" hidden="false" customHeight="true" outlineLevel="0" collapsed="false">
      <c r="B128" s="12"/>
      <c r="C128" s="12"/>
      <c r="D128" s="12"/>
      <c r="E128" s="12"/>
    </row>
    <row r="129" customFormat="false" ht="14.25" hidden="false" customHeight="true" outlineLevel="0" collapsed="false">
      <c r="B129" s="12"/>
      <c r="C129" s="12"/>
      <c r="D129" s="12"/>
      <c r="E129" s="12"/>
    </row>
    <row r="130" customFormat="false" ht="14.25" hidden="false" customHeight="true" outlineLevel="0" collapsed="false">
      <c r="B130" s="12"/>
      <c r="C130" s="12"/>
      <c r="D130" s="12"/>
      <c r="E130" s="12"/>
    </row>
    <row r="131" customFormat="false" ht="14.25" hidden="false" customHeight="true" outlineLevel="0" collapsed="false">
      <c r="B131" s="12"/>
      <c r="C131" s="12"/>
      <c r="D131" s="12"/>
      <c r="E131" s="12"/>
    </row>
    <row r="132" customFormat="false" ht="14.25" hidden="false" customHeight="true" outlineLevel="0" collapsed="false">
      <c r="B132" s="12"/>
      <c r="C132" s="12"/>
      <c r="D132" s="12"/>
      <c r="E132" s="12"/>
    </row>
    <row r="133" customFormat="false" ht="14.25" hidden="false" customHeight="true" outlineLevel="0" collapsed="false">
      <c r="B133" s="12"/>
      <c r="C133" s="12"/>
      <c r="D133" s="12"/>
      <c r="E133" s="12"/>
    </row>
    <row r="134" customFormat="false" ht="14.25" hidden="false" customHeight="true" outlineLevel="0" collapsed="false">
      <c r="B134" s="12"/>
      <c r="C134" s="12"/>
      <c r="D134" s="12"/>
      <c r="E134" s="12"/>
    </row>
    <row r="135" customFormat="false" ht="14.25" hidden="false" customHeight="true" outlineLevel="0" collapsed="false">
      <c r="B135" s="12"/>
      <c r="C135" s="12"/>
      <c r="D135" s="12"/>
      <c r="E135" s="12"/>
    </row>
    <row r="136" customFormat="false" ht="14.25" hidden="false" customHeight="true" outlineLevel="0" collapsed="false">
      <c r="B136" s="12"/>
      <c r="C136" s="12"/>
      <c r="D136" s="12"/>
      <c r="E136" s="12"/>
    </row>
    <row r="137" customFormat="false" ht="14.25" hidden="false" customHeight="true" outlineLevel="0" collapsed="false">
      <c r="B137" s="12"/>
      <c r="C137" s="12"/>
      <c r="D137" s="12"/>
      <c r="E137" s="12"/>
    </row>
    <row r="138" customFormat="false" ht="14.25" hidden="false" customHeight="true" outlineLevel="0" collapsed="false">
      <c r="B138" s="12"/>
      <c r="C138" s="12"/>
      <c r="D138" s="12"/>
      <c r="E138" s="12"/>
    </row>
    <row r="139" customFormat="false" ht="14.25" hidden="false" customHeight="true" outlineLevel="0" collapsed="false">
      <c r="B139" s="12"/>
      <c r="C139" s="12"/>
      <c r="D139" s="12"/>
      <c r="E139" s="12"/>
    </row>
    <row r="140" customFormat="false" ht="14.25" hidden="false" customHeight="true" outlineLevel="0" collapsed="false">
      <c r="B140" s="12"/>
      <c r="C140" s="12"/>
      <c r="D140" s="12"/>
      <c r="E140" s="12"/>
    </row>
    <row r="141" customFormat="false" ht="14.25" hidden="false" customHeight="true" outlineLevel="0" collapsed="false">
      <c r="B141" s="12"/>
      <c r="C141" s="12"/>
      <c r="D141" s="12"/>
      <c r="E141" s="12"/>
    </row>
    <row r="142" customFormat="false" ht="14.25" hidden="false" customHeight="true" outlineLevel="0" collapsed="false">
      <c r="B142" s="12"/>
      <c r="C142" s="12"/>
      <c r="D142" s="12"/>
      <c r="E142" s="12"/>
    </row>
    <row r="143" customFormat="false" ht="14.25" hidden="false" customHeight="true" outlineLevel="0" collapsed="false">
      <c r="B143" s="12"/>
      <c r="C143" s="12"/>
      <c r="D143" s="12"/>
      <c r="E143" s="12"/>
    </row>
    <row r="144" customFormat="false" ht="14.25" hidden="false" customHeight="true" outlineLevel="0" collapsed="false">
      <c r="B144" s="12"/>
      <c r="C144" s="12"/>
      <c r="D144" s="12"/>
      <c r="E144" s="12"/>
    </row>
    <row r="145" customFormat="false" ht="14.25" hidden="false" customHeight="true" outlineLevel="0" collapsed="false">
      <c r="B145" s="12"/>
      <c r="C145" s="12"/>
      <c r="D145" s="12"/>
      <c r="E145" s="12"/>
    </row>
    <row r="146" customFormat="false" ht="14.25" hidden="false" customHeight="true" outlineLevel="0" collapsed="false">
      <c r="B146" s="12"/>
      <c r="C146" s="12"/>
      <c r="D146" s="12"/>
      <c r="E146" s="12"/>
    </row>
    <row r="147" customFormat="false" ht="14.25" hidden="false" customHeight="true" outlineLevel="0" collapsed="false">
      <c r="B147" s="12"/>
      <c r="C147" s="12"/>
      <c r="D147" s="12"/>
      <c r="E147" s="12"/>
    </row>
    <row r="148" customFormat="false" ht="14.25" hidden="false" customHeight="true" outlineLevel="0" collapsed="false">
      <c r="B148" s="12"/>
      <c r="C148" s="12"/>
      <c r="D148" s="12"/>
      <c r="E148" s="12"/>
    </row>
    <row r="149" customFormat="false" ht="14.25" hidden="false" customHeight="true" outlineLevel="0" collapsed="false">
      <c r="B149" s="12"/>
      <c r="C149" s="12"/>
      <c r="D149" s="12"/>
      <c r="E149" s="12"/>
    </row>
    <row r="150" customFormat="false" ht="14.25" hidden="false" customHeight="true" outlineLevel="0" collapsed="false">
      <c r="B150" s="12"/>
      <c r="C150" s="12"/>
      <c r="D150" s="12"/>
      <c r="E150" s="12"/>
    </row>
    <row r="151" customFormat="false" ht="14.25" hidden="false" customHeight="true" outlineLevel="0" collapsed="false">
      <c r="B151" s="12"/>
      <c r="C151" s="12"/>
      <c r="D151" s="12"/>
      <c r="E151" s="12"/>
    </row>
    <row r="152" customFormat="false" ht="14.25" hidden="false" customHeight="true" outlineLevel="0" collapsed="false">
      <c r="B152" s="12"/>
      <c r="C152" s="12"/>
      <c r="D152" s="12"/>
      <c r="E152" s="12"/>
    </row>
    <row r="153" customFormat="false" ht="14.25" hidden="false" customHeight="true" outlineLevel="0" collapsed="false">
      <c r="B153" s="12"/>
      <c r="C153" s="12"/>
      <c r="D153" s="12"/>
      <c r="E153" s="12"/>
    </row>
    <row r="154" customFormat="false" ht="14.25" hidden="false" customHeight="true" outlineLevel="0" collapsed="false">
      <c r="B154" s="12"/>
      <c r="C154" s="12"/>
      <c r="D154" s="12"/>
      <c r="E154" s="12"/>
    </row>
    <row r="155" customFormat="false" ht="14.25" hidden="false" customHeight="true" outlineLevel="0" collapsed="false">
      <c r="B155" s="12"/>
      <c r="C155" s="12"/>
      <c r="D155" s="12"/>
      <c r="E155" s="12"/>
    </row>
    <row r="156" customFormat="false" ht="14.25" hidden="false" customHeight="true" outlineLevel="0" collapsed="false">
      <c r="B156" s="12"/>
      <c r="C156" s="12"/>
      <c r="D156" s="12"/>
      <c r="E156" s="12"/>
    </row>
    <row r="157" customFormat="false" ht="14.25" hidden="false" customHeight="true" outlineLevel="0" collapsed="false">
      <c r="B157" s="12"/>
      <c r="C157" s="12"/>
      <c r="D157" s="12"/>
      <c r="E157" s="12"/>
    </row>
    <row r="158" customFormat="false" ht="14.25" hidden="false" customHeight="true" outlineLevel="0" collapsed="false">
      <c r="B158" s="12"/>
      <c r="C158" s="12"/>
      <c r="D158" s="12"/>
      <c r="E158" s="12"/>
    </row>
    <row r="159" customFormat="false" ht="14.25" hidden="false" customHeight="true" outlineLevel="0" collapsed="false">
      <c r="B159" s="12"/>
      <c r="C159" s="12"/>
      <c r="D159" s="12"/>
      <c r="E159" s="12"/>
    </row>
    <row r="160" customFormat="false" ht="14.25" hidden="false" customHeight="true" outlineLevel="0" collapsed="false">
      <c r="B160" s="12"/>
      <c r="C160" s="12"/>
      <c r="D160" s="12"/>
      <c r="E160" s="12"/>
    </row>
    <row r="161" customFormat="false" ht="14.25" hidden="false" customHeight="true" outlineLevel="0" collapsed="false">
      <c r="B161" s="12"/>
      <c r="C161" s="12"/>
      <c r="D161" s="12"/>
      <c r="E161" s="12"/>
    </row>
    <row r="162" customFormat="false" ht="14.25" hidden="false" customHeight="true" outlineLevel="0" collapsed="false">
      <c r="B162" s="12"/>
      <c r="C162" s="12"/>
      <c r="D162" s="12"/>
      <c r="E162" s="12"/>
    </row>
    <row r="163" customFormat="false" ht="14.25" hidden="false" customHeight="true" outlineLevel="0" collapsed="false">
      <c r="B163" s="12"/>
      <c r="C163" s="12"/>
      <c r="D163" s="12"/>
      <c r="E163" s="12"/>
    </row>
    <row r="164" customFormat="false" ht="14.25" hidden="false" customHeight="true" outlineLevel="0" collapsed="false">
      <c r="B164" s="12"/>
      <c r="C164" s="12"/>
      <c r="D164" s="12"/>
      <c r="E164" s="12"/>
    </row>
    <row r="165" customFormat="false" ht="14.25" hidden="false" customHeight="true" outlineLevel="0" collapsed="false">
      <c r="B165" s="12"/>
      <c r="C165" s="12"/>
      <c r="D165" s="12"/>
      <c r="E165" s="12"/>
    </row>
    <row r="166" customFormat="false" ht="14.25" hidden="false" customHeight="true" outlineLevel="0" collapsed="false">
      <c r="B166" s="12"/>
      <c r="C166" s="12"/>
      <c r="D166" s="12"/>
      <c r="E166" s="12"/>
    </row>
    <row r="167" customFormat="false" ht="14.25" hidden="false" customHeight="true" outlineLevel="0" collapsed="false">
      <c r="B167" s="12"/>
      <c r="C167" s="12"/>
      <c r="D167" s="12"/>
      <c r="E167" s="12"/>
    </row>
    <row r="168" customFormat="false" ht="14.25" hidden="false" customHeight="true" outlineLevel="0" collapsed="false">
      <c r="B168" s="12"/>
      <c r="C168" s="12"/>
      <c r="D168" s="12"/>
      <c r="E168" s="12"/>
    </row>
    <row r="169" customFormat="false" ht="14.25" hidden="false" customHeight="true" outlineLevel="0" collapsed="false">
      <c r="B169" s="12"/>
      <c r="C169" s="12"/>
      <c r="D169" s="12"/>
      <c r="E169" s="12"/>
    </row>
    <row r="170" customFormat="false" ht="14.25" hidden="false" customHeight="true" outlineLevel="0" collapsed="false">
      <c r="B170" s="12"/>
      <c r="C170" s="12"/>
      <c r="D170" s="12"/>
      <c r="E170" s="12"/>
    </row>
    <row r="171" customFormat="false" ht="14.25" hidden="false" customHeight="true" outlineLevel="0" collapsed="false">
      <c r="B171" s="12"/>
      <c r="C171" s="12"/>
      <c r="D171" s="12"/>
      <c r="E171" s="12"/>
    </row>
    <row r="172" customFormat="false" ht="14.25" hidden="false" customHeight="true" outlineLevel="0" collapsed="false">
      <c r="B172" s="12"/>
      <c r="C172" s="12"/>
      <c r="D172" s="12"/>
      <c r="E172" s="12"/>
    </row>
    <row r="173" customFormat="false" ht="14.25" hidden="false" customHeight="true" outlineLevel="0" collapsed="false">
      <c r="B173" s="12"/>
      <c r="C173" s="12"/>
      <c r="D173" s="12"/>
      <c r="E173" s="12"/>
    </row>
    <row r="174" customFormat="false" ht="14.25" hidden="false" customHeight="true" outlineLevel="0" collapsed="false">
      <c r="B174" s="12"/>
      <c r="C174" s="12"/>
      <c r="D174" s="12"/>
      <c r="E174" s="12"/>
    </row>
    <row r="175" customFormat="false" ht="14.25" hidden="false" customHeight="true" outlineLevel="0" collapsed="false">
      <c r="B175" s="12"/>
      <c r="C175" s="12"/>
      <c r="D175" s="12"/>
      <c r="E175" s="12"/>
    </row>
    <row r="176" customFormat="false" ht="14.25" hidden="false" customHeight="true" outlineLevel="0" collapsed="false">
      <c r="B176" s="12"/>
      <c r="C176" s="12"/>
      <c r="D176" s="12"/>
      <c r="E176" s="12"/>
    </row>
    <row r="177" customFormat="false" ht="14.25" hidden="false" customHeight="true" outlineLevel="0" collapsed="false">
      <c r="B177" s="12"/>
      <c r="C177" s="12"/>
      <c r="D177" s="12"/>
      <c r="E177" s="12"/>
    </row>
    <row r="178" customFormat="false" ht="14.25" hidden="false" customHeight="true" outlineLevel="0" collapsed="false">
      <c r="B178" s="12"/>
      <c r="C178" s="12"/>
      <c r="D178" s="12"/>
      <c r="E178" s="12"/>
    </row>
    <row r="179" customFormat="false" ht="14.25" hidden="false" customHeight="true" outlineLevel="0" collapsed="false">
      <c r="B179" s="12"/>
      <c r="C179" s="12"/>
      <c r="D179" s="12"/>
      <c r="E179" s="12"/>
    </row>
    <row r="180" customFormat="false" ht="14.25" hidden="false" customHeight="true" outlineLevel="0" collapsed="false">
      <c r="B180" s="12"/>
      <c r="C180" s="12"/>
      <c r="D180" s="12"/>
      <c r="E180" s="12"/>
    </row>
    <row r="181" customFormat="false" ht="14.25" hidden="false" customHeight="true" outlineLevel="0" collapsed="false">
      <c r="B181" s="12"/>
      <c r="C181" s="12"/>
      <c r="D181" s="12"/>
      <c r="E181" s="12"/>
    </row>
    <row r="182" customFormat="false" ht="14.25" hidden="false" customHeight="true" outlineLevel="0" collapsed="false">
      <c r="B182" s="12"/>
      <c r="C182" s="12"/>
      <c r="D182" s="12"/>
      <c r="E182" s="12"/>
    </row>
    <row r="183" customFormat="false" ht="14.25" hidden="false" customHeight="true" outlineLevel="0" collapsed="false">
      <c r="B183" s="12"/>
      <c r="C183" s="12"/>
      <c r="D183" s="12"/>
      <c r="E183" s="12"/>
    </row>
    <row r="184" customFormat="false" ht="14.25" hidden="false" customHeight="true" outlineLevel="0" collapsed="false">
      <c r="B184" s="12"/>
      <c r="C184" s="12"/>
      <c r="D184" s="12"/>
      <c r="E184" s="12"/>
    </row>
    <row r="185" customFormat="false" ht="14.25" hidden="false" customHeight="true" outlineLevel="0" collapsed="false">
      <c r="B185" s="12"/>
      <c r="C185" s="12"/>
      <c r="D185" s="12"/>
      <c r="E185" s="12"/>
    </row>
    <row r="186" customFormat="false" ht="14.25" hidden="false" customHeight="true" outlineLevel="0" collapsed="false">
      <c r="B186" s="12"/>
      <c r="C186" s="12"/>
      <c r="D186" s="12"/>
      <c r="E186" s="12"/>
    </row>
    <row r="187" customFormat="false" ht="14.25" hidden="false" customHeight="true" outlineLevel="0" collapsed="false">
      <c r="B187" s="12"/>
      <c r="C187" s="12"/>
      <c r="D187" s="12"/>
      <c r="E187" s="12"/>
    </row>
    <row r="188" customFormat="false" ht="14.25" hidden="false" customHeight="true" outlineLevel="0" collapsed="false">
      <c r="B188" s="12"/>
      <c r="C188" s="12"/>
      <c r="D188" s="12"/>
      <c r="E188" s="12"/>
    </row>
    <row r="189" customFormat="false" ht="14.25" hidden="false" customHeight="true" outlineLevel="0" collapsed="false">
      <c r="B189" s="12"/>
      <c r="C189" s="12"/>
      <c r="D189" s="12"/>
      <c r="E189" s="12"/>
    </row>
    <row r="190" customFormat="false" ht="14.25" hidden="false" customHeight="true" outlineLevel="0" collapsed="false">
      <c r="B190" s="12"/>
      <c r="C190" s="12"/>
      <c r="D190" s="12"/>
      <c r="E190" s="12"/>
    </row>
    <row r="191" customFormat="false" ht="14.25" hidden="false" customHeight="true" outlineLevel="0" collapsed="false">
      <c r="B191" s="12"/>
      <c r="C191" s="12"/>
      <c r="D191" s="12"/>
      <c r="E191" s="12"/>
    </row>
    <row r="192" customFormat="false" ht="14.25" hidden="false" customHeight="true" outlineLevel="0" collapsed="false">
      <c r="B192" s="12"/>
      <c r="C192" s="12"/>
      <c r="D192" s="12"/>
      <c r="E192" s="12"/>
    </row>
    <row r="193" customFormat="false" ht="14.25" hidden="false" customHeight="true" outlineLevel="0" collapsed="false">
      <c r="B193" s="12"/>
      <c r="C193" s="12"/>
      <c r="D193" s="12"/>
      <c r="E193" s="12"/>
    </row>
    <row r="194" customFormat="false" ht="14.25" hidden="false" customHeight="true" outlineLevel="0" collapsed="false">
      <c r="B194" s="12"/>
      <c r="C194" s="12"/>
      <c r="D194" s="12"/>
      <c r="E194" s="12"/>
    </row>
    <row r="195" customFormat="false" ht="14.25" hidden="false" customHeight="true" outlineLevel="0" collapsed="false">
      <c r="B195" s="12"/>
      <c r="C195" s="12"/>
      <c r="D195" s="12"/>
      <c r="E195" s="12"/>
    </row>
    <row r="196" customFormat="false" ht="14.25" hidden="false" customHeight="true" outlineLevel="0" collapsed="false">
      <c r="B196" s="12"/>
      <c r="C196" s="12"/>
      <c r="D196" s="12"/>
      <c r="E196" s="12"/>
    </row>
    <row r="197" customFormat="false" ht="14.25" hidden="false" customHeight="true" outlineLevel="0" collapsed="false">
      <c r="B197" s="12"/>
      <c r="C197" s="12"/>
      <c r="D197" s="12"/>
      <c r="E197" s="12"/>
    </row>
    <row r="198" customFormat="false" ht="14.25" hidden="false" customHeight="true" outlineLevel="0" collapsed="false">
      <c r="B198" s="12"/>
      <c r="C198" s="12"/>
      <c r="D198" s="12"/>
      <c r="E198" s="12"/>
    </row>
    <row r="199" customFormat="false" ht="14.25" hidden="false" customHeight="true" outlineLevel="0" collapsed="false">
      <c r="B199" s="12"/>
      <c r="C199" s="12"/>
      <c r="D199" s="12"/>
      <c r="E199" s="12"/>
    </row>
    <row r="200" customFormat="false" ht="14.25" hidden="false" customHeight="true" outlineLevel="0" collapsed="false">
      <c r="B200" s="12"/>
      <c r="C200" s="12"/>
      <c r="D200" s="12"/>
      <c r="E200" s="12"/>
    </row>
    <row r="201" customFormat="false" ht="14.25" hidden="false" customHeight="true" outlineLevel="0" collapsed="false">
      <c r="B201" s="12"/>
      <c r="C201" s="12"/>
      <c r="D201" s="12"/>
      <c r="E201" s="12"/>
    </row>
    <row r="202" customFormat="false" ht="14.25" hidden="false" customHeight="true" outlineLevel="0" collapsed="false">
      <c r="B202" s="12"/>
      <c r="C202" s="12"/>
      <c r="D202" s="12"/>
      <c r="E202" s="12"/>
    </row>
    <row r="203" customFormat="false" ht="14.25" hidden="false" customHeight="true" outlineLevel="0" collapsed="false">
      <c r="B203" s="12"/>
      <c r="C203" s="12"/>
      <c r="D203" s="12"/>
      <c r="E203" s="12"/>
    </row>
    <row r="204" customFormat="false" ht="14.25" hidden="false" customHeight="true" outlineLevel="0" collapsed="false">
      <c r="B204" s="12"/>
      <c r="C204" s="12"/>
      <c r="D204" s="12"/>
      <c r="E204" s="12"/>
    </row>
    <row r="205" customFormat="false" ht="14.25" hidden="false" customHeight="true" outlineLevel="0" collapsed="false">
      <c r="B205" s="12"/>
      <c r="C205" s="12"/>
      <c r="D205" s="12"/>
      <c r="E205" s="12"/>
    </row>
    <row r="206" customFormat="false" ht="14.25" hidden="false" customHeight="true" outlineLevel="0" collapsed="false">
      <c r="B206" s="12"/>
      <c r="C206" s="12"/>
      <c r="D206" s="12"/>
      <c r="E206" s="12"/>
    </row>
    <row r="207" customFormat="false" ht="14.25" hidden="false" customHeight="true" outlineLevel="0" collapsed="false">
      <c r="B207" s="12"/>
      <c r="C207" s="12"/>
      <c r="D207" s="12"/>
      <c r="E207" s="12"/>
    </row>
    <row r="208" customFormat="false" ht="14.25" hidden="false" customHeight="true" outlineLevel="0" collapsed="false">
      <c r="B208" s="12"/>
      <c r="C208" s="12"/>
      <c r="D208" s="12"/>
      <c r="E208" s="12"/>
    </row>
    <row r="209" customFormat="false" ht="14.25" hidden="false" customHeight="true" outlineLevel="0" collapsed="false">
      <c r="B209" s="12"/>
      <c r="C209" s="12"/>
      <c r="D209" s="12"/>
      <c r="E209" s="12"/>
    </row>
    <row r="210" customFormat="false" ht="14.25" hidden="false" customHeight="true" outlineLevel="0" collapsed="false">
      <c r="B210" s="12"/>
      <c r="C210" s="12"/>
      <c r="D210" s="12"/>
      <c r="E210" s="12"/>
    </row>
    <row r="211" customFormat="false" ht="14.25" hidden="false" customHeight="true" outlineLevel="0" collapsed="false">
      <c r="B211" s="12"/>
      <c r="C211" s="12"/>
      <c r="D211" s="12"/>
      <c r="E211" s="12"/>
    </row>
    <row r="212" customFormat="false" ht="14.25" hidden="false" customHeight="true" outlineLevel="0" collapsed="false">
      <c r="B212" s="12"/>
      <c r="C212" s="12"/>
      <c r="D212" s="12"/>
      <c r="E212" s="12"/>
    </row>
    <row r="213" customFormat="false" ht="14.25" hidden="false" customHeight="true" outlineLevel="0" collapsed="false">
      <c r="B213" s="12"/>
      <c r="C213" s="12"/>
      <c r="D213" s="12"/>
      <c r="E213" s="12"/>
    </row>
    <row r="214" customFormat="false" ht="14.25" hidden="false" customHeight="true" outlineLevel="0" collapsed="false">
      <c r="B214" s="12"/>
      <c r="C214" s="12"/>
      <c r="D214" s="12"/>
      <c r="E214" s="12"/>
    </row>
    <row r="215" customFormat="false" ht="14.25" hidden="false" customHeight="true" outlineLevel="0" collapsed="false">
      <c r="B215" s="12"/>
      <c r="C215" s="12"/>
      <c r="D215" s="12"/>
      <c r="E215" s="12"/>
    </row>
    <row r="216" customFormat="false" ht="14.25" hidden="false" customHeight="true" outlineLevel="0" collapsed="false">
      <c r="B216" s="12"/>
      <c r="C216" s="12"/>
      <c r="D216" s="12"/>
      <c r="E216" s="12"/>
    </row>
    <row r="217" customFormat="false" ht="14.25" hidden="false" customHeight="true" outlineLevel="0" collapsed="false">
      <c r="B217" s="12"/>
      <c r="C217" s="12"/>
      <c r="D217" s="12"/>
      <c r="E217" s="12"/>
    </row>
    <row r="218" customFormat="false" ht="14.25" hidden="false" customHeight="true" outlineLevel="0" collapsed="false">
      <c r="B218" s="12"/>
      <c r="C218" s="12"/>
      <c r="D218" s="12"/>
      <c r="E218" s="12"/>
    </row>
    <row r="219" customFormat="false" ht="14.25" hidden="false" customHeight="true" outlineLevel="0" collapsed="false">
      <c r="B219" s="12"/>
      <c r="C219" s="12"/>
      <c r="D219" s="12"/>
      <c r="E219" s="12"/>
    </row>
    <row r="220" customFormat="false" ht="14.25" hidden="false" customHeight="true" outlineLevel="0" collapsed="false">
      <c r="B220" s="12"/>
      <c r="C220" s="12"/>
      <c r="D220" s="12"/>
      <c r="E220" s="12"/>
    </row>
    <row r="221" customFormat="false" ht="14.25" hidden="false" customHeight="true" outlineLevel="0" collapsed="false">
      <c r="B221" s="12"/>
      <c r="C221" s="12"/>
      <c r="D221" s="12"/>
      <c r="E221" s="12"/>
    </row>
    <row r="222" customFormat="false" ht="14.25" hidden="false" customHeight="true" outlineLevel="0" collapsed="false">
      <c r="B222" s="12"/>
      <c r="C222" s="12"/>
      <c r="D222" s="12"/>
      <c r="E222" s="12"/>
    </row>
    <row r="223" customFormat="false" ht="14.25" hidden="false" customHeight="true" outlineLevel="0" collapsed="false">
      <c r="B223" s="12"/>
      <c r="C223" s="12"/>
      <c r="D223" s="12"/>
      <c r="E223" s="12"/>
    </row>
    <row r="224" customFormat="false" ht="14.25" hidden="false" customHeight="true" outlineLevel="0" collapsed="false">
      <c r="B224" s="12"/>
      <c r="C224" s="12"/>
      <c r="D224" s="12"/>
      <c r="E224" s="12"/>
    </row>
    <row r="225" customFormat="false" ht="14.25" hidden="false" customHeight="true" outlineLevel="0" collapsed="false">
      <c r="B225" s="12"/>
      <c r="C225" s="12"/>
      <c r="D225" s="12"/>
      <c r="E225" s="12"/>
    </row>
    <row r="226" customFormat="false" ht="14.25" hidden="false" customHeight="true" outlineLevel="0" collapsed="false">
      <c r="B226" s="12"/>
      <c r="C226" s="12"/>
      <c r="D226" s="12"/>
      <c r="E226" s="12"/>
    </row>
    <row r="227" customFormat="false" ht="14.25" hidden="false" customHeight="true" outlineLevel="0" collapsed="false">
      <c r="B227" s="12"/>
      <c r="C227" s="12"/>
      <c r="D227" s="12"/>
      <c r="E227" s="12"/>
    </row>
    <row r="228" customFormat="false" ht="14.25" hidden="false" customHeight="true" outlineLevel="0" collapsed="false">
      <c r="B228" s="12"/>
      <c r="C228" s="12"/>
      <c r="D228" s="12"/>
      <c r="E228" s="12"/>
    </row>
    <row r="229" customFormat="false" ht="14.25" hidden="false" customHeight="true" outlineLevel="0" collapsed="false">
      <c r="B229" s="12"/>
      <c r="C229" s="12"/>
      <c r="D229" s="12"/>
      <c r="E229" s="12"/>
    </row>
    <row r="230" customFormat="false" ht="14.25" hidden="false" customHeight="true" outlineLevel="0" collapsed="false">
      <c r="B230" s="12"/>
      <c r="C230" s="12"/>
      <c r="D230" s="12"/>
      <c r="E230" s="12"/>
    </row>
    <row r="231" customFormat="false" ht="14.25" hidden="false" customHeight="true" outlineLevel="0" collapsed="false">
      <c r="B231" s="12"/>
      <c r="C231" s="12"/>
      <c r="D231" s="12"/>
      <c r="E231" s="12"/>
    </row>
    <row r="232" customFormat="false" ht="14.25" hidden="false" customHeight="true" outlineLevel="0" collapsed="false">
      <c r="B232" s="12"/>
      <c r="C232" s="12"/>
      <c r="D232" s="12"/>
      <c r="E232" s="12"/>
    </row>
    <row r="233" customFormat="false" ht="14.25" hidden="false" customHeight="true" outlineLevel="0" collapsed="false">
      <c r="B233" s="12"/>
      <c r="C233" s="12"/>
      <c r="D233" s="12"/>
      <c r="E233" s="12"/>
    </row>
    <row r="234" customFormat="false" ht="14.25" hidden="false" customHeight="true" outlineLevel="0" collapsed="false">
      <c r="B234" s="12"/>
      <c r="C234" s="12"/>
      <c r="D234" s="12"/>
      <c r="E234" s="12"/>
    </row>
    <row r="235" customFormat="false" ht="14.25" hidden="false" customHeight="true" outlineLevel="0" collapsed="false">
      <c r="B235" s="12"/>
      <c r="C235" s="12"/>
      <c r="D235" s="12"/>
      <c r="E235" s="12"/>
    </row>
    <row r="236" customFormat="false" ht="14.25" hidden="false" customHeight="true" outlineLevel="0" collapsed="false">
      <c r="B236" s="12"/>
      <c r="C236" s="12"/>
      <c r="D236" s="12"/>
      <c r="E236" s="12"/>
    </row>
    <row r="237" customFormat="false" ht="14.25" hidden="false" customHeight="true" outlineLevel="0" collapsed="false">
      <c r="B237" s="12"/>
      <c r="C237" s="12"/>
      <c r="D237" s="12"/>
      <c r="E237" s="12"/>
    </row>
    <row r="238" customFormat="false" ht="14.25" hidden="false" customHeight="true" outlineLevel="0" collapsed="false">
      <c r="B238" s="12"/>
      <c r="C238" s="12"/>
      <c r="D238" s="12"/>
      <c r="E238" s="12"/>
    </row>
    <row r="239" customFormat="false" ht="14.25" hidden="false" customHeight="true" outlineLevel="0" collapsed="false">
      <c r="B239" s="12"/>
      <c r="C239" s="12"/>
      <c r="D239" s="12"/>
      <c r="E239" s="12"/>
    </row>
    <row r="240" customFormat="false" ht="14.25" hidden="false" customHeight="true" outlineLevel="0" collapsed="false">
      <c r="B240" s="12"/>
      <c r="C240" s="12"/>
      <c r="D240" s="12"/>
      <c r="E240" s="12"/>
    </row>
    <row r="241" customFormat="false" ht="14.25" hidden="false" customHeight="true" outlineLevel="0" collapsed="false">
      <c r="B241" s="12"/>
      <c r="C241" s="12"/>
      <c r="D241" s="12"/>
      <c r="E241" s="12"/>
    </row>
    <row r="242" customFormat="false" ht="14.25" hidden="false" customHeight="true" outlineLevel="0" collapsed="false">
      <c r="B242" s="12"/>
      <c r="C242" s="12"/>
      <c r="D242" s="12"/>
      <c r="E242" s="12"/>
    </row>
    <row r="243" customFormat="false" ht="14.25" hidden="false" customHeight="true" outlineLevel="0" collapsed="false">
      <c r="B243" s="12"/>
      <c r="C243" s="12"/>
      <c r="D243" s="12"/>
      <c r="E243" s="12"/>
    </row>
    <row r="244" customFormat="false" ht="14.25" hidden="false" customHeight="true" outlineLevel="0" collapsed="false">
      <c r="B244" s="12"/>
      <c r="C244" s="12"/>
      <c r="D244" s="12"/>
      <c r="E244" s="12"/>
    </row>
    <row r="245" customFormat="false" ht="14.25" hidden="false" customHeight="true" outlineLevel="0" collapsed="false">
      <c r="B245" s="12"/>
      <c r="C245" s="12"/>
      <c r="D245" s="12"/>
      <c r="E245" s="12"/>
    </row>
    <row r="246" customFormat="false" ht="14.25" hidden="false" customHeight="true" outlineLevel="0" collapsed="false">
      <c r="B246" s="12"/>
      <c r="C246" s="12"/>
      <c r="D246" s="12"/>
      <c r="E246" s="12"/>
    </row>
    <row r="247" customFormat="false" ht="14.25" hidden="false" customHeight="true" outlineLevel="0" collapsed="false">
      <c r="B247" s="12"/>
      <c r="C247" s="12"/>
      <c r="D247" s="12"/>
      <c r="E247" s="12"/>
    </row>
    <row r="248" customFormat="false" ht="14.25" hidden="false" customHeight="true" outlineLevel="0" collapsed="false">
      <c r="B248" s="12"/>
      <c r="C248" s="12"/>
      <c r="D248" s="12"/>
      <c r="E248" s="12"/>
    </row>
    <row r="249" customFormat="false" ht="14.25" hidden="false" customHeight="true" outlineLevel="0" collapsed="false">
      <c r="B249" s="12"/>
      <c r="C249" s="12"/>
      <c r="D249" s="12"/>
      <c r="E249" s="12"/>
    </row>
    <row r="250" customFormat="false" ht="14.25" hidden="false" customHeight="true" outlineLevel="0" collapsed="false">
      <c r="B250" s="12"/>
      <c r="C250" s="12"/>
      <c r="D250" s="12"/>
      <c r="E250" s="12"/>
    </row>
    <row r="251" customFormat="false" ht="14.25" hidden="false" customHeight="true" outlineLevel="0" collapsed="false">
      <c r="B251" s="12"/>
      <c r="C251" s="12"/>
      <c r="D251" s="12"/>
      <c r="E251" s="12"/>
    </row>
    <row r="252" customFormat="false" ht="14.25" hidden="false" customHeight="true" outlineLevel="0" collapsed="false">
      <c r="B252" s="12"/>
      <c r="C252" s="12"/>
      <c r="D252" s="12"/>
      <c r="E252" s="12"/>
    </row>
    <row r="253" customFormat="false" ht="14.25" hidden="false" customHeight="true" outlineLevel="0" collapsed="false">
      <c r="B253" s="12"/>
      <c r="C253" s="12"/>
      <c r="D253" s="12"/>
      <c r="E253" s="12"/>
    </row>
    <row r="254" customFormat="false" ht="14.25" hidden="false" customHeight="true" outlineLevel="0" collapsed="false">
      <c r="B254" s="12"/>
      <c r="C254" s="12"/>
      <c r="D254" s="12"/>
      <c r="E254" s="12"/>
    </row>
    <row r="255" customFormat="false" ht="14.25" hidden="false" customHeight="true" outlineLevel="0" collapsed="false">
      <c r="B255" s="12"/>
      <c r="C255" s="12"/>
      <c r="D255" s="12"/>
      <c r="E255" s="12"/>
    </row>
    <row r="256" customFormat="false" ht="14.25" hidden="false" customHeight="true" outlineLevel="0" collapsed="false">
      <c r="B256" s="12"/>
      <c r="C256" s="12"/>
      <c r="D256" s="12"/>
      <c r="E256" s="12"/>
    </row>
    <row r="257" customFormat="false" ht="14.25" hidden="false" customHeight="true" outlineLevel="0" collapsed="false">
      <c r="B257" s="12"/>
      <c r="C257" s="12"/>
      <c r="D257" s="12"/>
      <c r="E257" s="12"/>
    </row>
    <row r="258" customFormat="false" ht="14.25" hidden="false" customHeight="true" outlineLevel="0" collapsed="false">
      <c r="B258" s="12"/>
      <c r="C258" s="12"/>
      <c r="D258" s="12"/>
      <c r="E258" s="12"/>
    </row>
    <row r="259" customFormat="false" ht="14.25" hidden="false" customHeight="true" outlineLevel="0" collapsed="false">
      <c r="B259" s="12"/>
      <c r="C259" s="12"/>
      <c r="D259" s="12"/>
      <c r="E259" s="12"/>
    </row>
    <row r="260" customFormat="false" ht="14.25" hidden="false" customHeight="true" outlineLevel="0" collapsed="false">
      <c r="B260" s="12"/>
      <c r="C260" s="12"/>
      <c r="D260" s="12"/>
      <c r="E260" s="12"/>
    </row>
    <row r="261" customFormat="false" ht="14.25" hidden="false" customHeight="true" outlineLevel="0" collapsed="false">
      <c r="B261" s="12"/>
      <c r="C261" s="12"/>
      <c r="D261" s="12"/>
      <c r="E261" s="12"/>
    </row>
    <row r="262" customFormat="false" ht="14.25" hidden="false" customHeight="true" outlineLevel="0" collapsed="false">
      <c r="B262" s="12"/>
      <c r="C262" s="12"/>
      <c r="D262" s="12"/>
      <c r="E262" s="12"/>
    </row>
    <row r="263" customFormat="false" ht="14.25" hidden="false" customHeight="true" outlineLevel="0" collapsed="false">
      <c r="B263" s="12"/>
      <c r="C263" s="12"/>
      <c r="D263" s="12"/>
      <c r="E263" s="12"/>
    </row>
    <row r="264" customFormat="false" ht="14.25" hidden="false" customHeight="true" outlineLevel="0" collapsed="false">
      <c r="B264" s="12"/>
      <c r="C264" s="12"/>
      <c r="D264" s="12"/>
      <c r="E264" s="12"/>
    </row>
    <row r="265" customFormat="false" ht="14.25" hidden="false" customHeight="true" outlineLevel="0" collapsed="false">
      <c r="B265" s="12"/>
      <c r="C265" s="12"/>
      <c r="D265" s="12"/>
      <c r="E265" s="12"/>
    </row>
    <row r="266" customFormat="false" ht="14.25" hidden="false" customHeight="true" outlineLevel="0" collapsed="false">
      <c r="B266" s="12"/>
      <c r="C266" s="12"/>
      <c r="D266" s="12"/>
      <c r="E266" s="12"/>
    </row>
    <row r="267" customFormat="false" ht="14.25" hidden="false" customHeight="true" outlineLevel="0" collapsed="false">
      <c r="B267" s="12"/>
      <c r="C267" s="12"/>
      <c r="D267" s="12"/>
      <c r="E267" s="12"/>
    </row>
    <row r="268" customFormat="false" ht="14.25" hidden="false" customHeight="true" outlineLevel="0" collapsed="false">
      <c r="B268" s="12"/>
      <c r="C268" s="12"/>
      <c r="D268" s="12"/>
      <c r="E268" s="12"/>
    </row>
    <row r="269" customFormat="false" ht="14.25" hidden="false" customHeight="true" outlineLevel="0" collapsed="false">
      <c r="B269" s="12"/>
      <c r="C269" s="12"/>
      <c r="D269" s="12"/>
      <c r="E269" s="12"/>
    </row>
    <row r="270" customFormat="false" ht="14.25" hidden="false" customHeight="true" outlineLevel="0" collapsed="false">
      <c r="B270" s="12"/>
      <c r="C270" s="12"/>
      <c r="D270" s="12"/>
      <c r="E270" s="12"/>
    </row>
    <row r="271" customFormat="false" ht="14.25" hidden="false" customHeight="true" outlineLevel="0" collapsed="false">
      <c r="B271" s="12"/>
      <c r="C271" s="12"/>
      <c r="D271" s="12"/>
      <c r="E271" s="12"/>
    </row>
    <row r="272" customFormat="false" ht="14.25" hidden="false" customHeight="true" outlineLevel="0" collapsed="false">
      <c r="B272" s="12"/>
      <c r="C272" s="12"/>
      <c r="D272" s="12"/>
      <c r="E272" s="12"/>
    </row>
    <row r="273" customFormat="false" ht="14.25" hidden="false" customHeight="true" outlineLevel="0" collapsed="false">
      <c r="B273" s="12"/>
      <c r="C273" s="12"/>
      <c r="D273" s="12"/>
      <c r="E273" s="12"/>
    </row>
    <row r="274" customFormat="false" ht="14.25" hidden="false" customHeight="true" outlineLevel="0" collapsed="false">
      <c r="B274" s="12"/>
      <c r="C274" s="12"/>
      <c r="D274" s="12"/>
      <c r="E274" s="12"/>
    </row>
    <row r="275" customFormat="false" ht="14.25" hidden="false" customHeight="true" outlineLevel="0" collapsed="false">
      <c r="B275" s="12"/>
      <c r="C275" s="12"/>
      <c r="D275" s="12"/>
      <c r="E275" s="12"/>
    </row>
    <row r="276" customFormat="false" ht="14.25" hidden="false" customHeight="true" outlineLevel="0" collapsed="false">
      <c r="B276" s="12"/>
      <c r="C276" s="12"/>
      <c r="D276" s="12"/>
      <c r="E276" s="12"/>
    </row>
    <row r="277" customFormat="false" ht="14.25" hidden="false" customHeight="true" outlineLevel="0" collapsed="false">
      <c r="B277" s="12"/>
      <c r="C277" s="12"/>
      <c r="D277" s="12"/>
      <c r="E277" s="12"/>
    </row>
    <row r="278" customFormat="false" ht="14.25" hidden="false" customHeight="true" outlineLevel="0" collapsed="false">
      <c r="B278" s="12"/>
      <c r="C278" s="12"/>
      <c r="D278" s="12"/>
      <c r="E278" s="12"/>
    </row>
    <row r="279" customFormat="false" ht="14.25" hidden="false" customHeight="true" outlineLevel="0" collapsed="false">
      <c r="B279" s="12"/>
      <c r="C279" s="12"/>
      <c r="D279" s="12"/>
      <c r="E279" s="12"/>
    </row>
    <row r="280" customFormat="false" ht="14.25" hidden="false" customHeight="true" outlineLevel="0" collapsed="false">
      <c r="B280" s="12"/>
      <c r="C280" s="12"/>
      <c r="D280" s="12"/>
      <c r="E280" s="12"/>
    </row>
    <row r="281" customFormat="false" ht="14.25" hidden="false" customHeight="true" outlineLevel="0" collapsed="false">
      <c r="B281" s="12"/>
      <c r="C281" s="12"/>
      <c r="D281" s="12"/>
      <c r="E281" s="12"/>
    </row>
    <row r="282" customFormat="false" ht="14.25" hidden="false" customHeight="true" outlineLevel="0" collapsed="false">
      <c r="B282" s="12"/>
      <c r="C282" s="12"/>
      <c r="D282" s="12"/>
      <c r="E282" s="12"/>
    </row>
    <row r="283" customFormat="false" ht="14.25" hidden="false" customHeight="true" outlineLevel="0" collapsed="false">
      <c r="B283" s="12"/>
      <c r="C283" s="12"/>
      <c r="D283" s="12"/>
      <c r="E283" s="12"/>
    </row>
    <row r="284" customFormat="false" ht="14.25" hidden="false" customHeight="true" outlineLevel="0" collapsed="false">
      <c r="B284" s="12"/>
      <c r="C284" s="12"/>
      <c r="D284" s="12"/>
      <c r="E284" s="12"/>
    </row>
    <row r="285" customFormat="false" ht="14.25" hidden="false" customHeight="true" outlineLevel="0" collapsed="false">
      <c r="B285" s="12"/>
      <c r="C285" s="12"/>
      <c r="D285" s="12"/>
      <c r="E285" s="12"/>
    </row>
    <row r="286" customFormat="false" ht="14.25" hidden="false" customHeight="true" outlineLevel="0" collapsed="false">
      <c r="B286" s="12"/>
      <c r="C286" s="12"/>
      <c r="D286" s="12"/>
      <c r="E286" s="12"/>
    </row>
    <row r="287" customFormat="false" ht="14.25" hidden="false" customHeight="true" outlineLevel="0" collapsed="false">
      <c r="B287" s="12"/>
      <c r="C287" s="12"/>
      <c r="D287" s="12"/>
      <c r="E287" s="12"/>
    </row>
    <row r="288" customFormat="false" ht="14.25" hidden="false" customHeight="true" outlineLevel="0" collapsed="false">
      <c r="B288" s="12"/>
      <c r="C288" s="12"/>
      <c r="D288" s="12"/>
      <c r="E288" s="12"/>
    </row>
    <row r="289" customFormat="false" ht="14.25" hidden="false" customHeight="true" outlineLevel="0" collapsed="false">
      <c r="B289" s="12"/>
      <c r="C289" s="12"/>
      <c r="D289" s="12"/>
      <c r="E289" s="12"/>
    </row>
    <row r="290" customFormat="false" ht="14.25" hidden="false" customHeight="true" outlineLevel="0" collapsed="false">
      <c r="B290" s="12"/>
      <c r="C290" s="12"/>
      <c r="D290" s="12"/>
      <c r="E290" s="12"/>
    </row>
    <row r="291" customFormat="false" ht="14.25" hidden="false" customHeight="true" outlineLevel="0" collapsed="false">
      <c r="B291" s="12"/>
      <c r="C291" s="12"/>
      <c r="D291" s="12"/>
      <c r="E291" s="12"/>
    </row>
    <row r="292" customFormat="false" ht="14.25" hidden="false" customHeight="true" outlineLevel="0" collapsed="false">
      <c r="B292" s="12"/>
      <c r="C292" s="12"/>
      <c r="D292" s="12"/>
      <c r="E292" s="12"/>
    </row>
    <row r="293" customFormat="false" ht="14.25" hidden="false" customHeight="true" outlineLevel="0" collapsed="false">
      <c r="B293" s="12"/>
      <c r="C293" s="12"/>
      <c r="D293" s="12"/>
      <c r="E293" s="12"/>
    </row>
    <row r="294" customFormat="false" ht="14.25" hidden="false" customHeight="true" outlineLevel="0" collapsed="false">
      <c r="B294" s="12"/>
      <c r="C294" s="12"/>
      <c r="D294" s="12"/>
      <c r="E294" s="12"/>
    </row>
    <row r="295" customFormat="false" ht="14.25" hidden="false" customHeight="true" outlineLevel="0" collapsed="false">
      <c r="B295" s="12"/>
      <c r="C295" s="12"/>
      <c r="D295" s="12"/>
      <c r="E295" s="12"/>
    </row>
    <row r="296" customFormat="false" ht="14.25" hidden="false" customHeight="true" outlineLevel="0" collapsed="false">
      <c r="B296" s="12"/>
      <c r="C296" s="12"/>
      <c r="D296" s="12"/>
      <c r="E296" s="12"/>
    </row>
    <row r="297" customFormat="false" ht="14.25" hidden="false" customHeight="true" outlineLevel="0" collapsed="false">
      <c r="B297" s="12"/>
      <c r="C297" s="12"/>
      <c r="D297" s="12"/>
      <c r="E297" s="12"/>
    </row>
    <row r="298" customFormat="false" ht="14.25" hidden="false" customHeight="true" outlineLevel="0" collapsed="false">
      <c r="B298" s="12"/>
      <c r="C298" s="12"/>
      <c r="D298" s="12"/>
      <c r="E298" s="12"/>
    </row>
    <row r="299" customFormat="false" ht="14.25" hidden="false" customHeight="true" outlineLevel="0" collapsed="false">
      <c r="B299" s="12"/>
      <c r="C299" s="12"/>
      <c r="D299" s="12"/>
      <c r="E299" s="12"/>
    </row>
    <row r="300" customFormat="false" ht="14.25" hidden="false" customHeight="true" outlineLevel="0" collapsed="false">
      <c r="B300" s="12"/>
      <c r="C300" s="12"/>
      <c r="D300" s="12"/>
      <c r="E300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24"/>
    <col collapsed="false" customWidth="true" hidden="false" outlineLevel="0" max="5" min="5" style="1" width="52"/>
  </cols>
  <sheetData>
    <row r="1" customFormat="false" ht="27.75" hidden="false" customHeight="true" outlineLevel="0" collapsed="false">
      <c r="A1" s="21" t="s">
        <v>234</v>
      </c>
      <c r="B1" s="21"/>
      <c r="C1" s="21"/>
      <c r="D1" s="21"/>
      <c r="E1" s="21"/>
    </row>
    <row r="2" customFormat="false" ht="42" hidden="false" customHeight="true" outlineLevel="0" collapsed="false">
      <c r="A2" s="3" t="s">
        <v>235</v>
      </c>
      <c r="B2" s="3"/>
      <c r="C2" s="3"/>
      <c r="D2" s="3"/>
      <c r="E2" s="3"/>
    </row>
    <row r="3" customFormat="false" ht="15" hidden="false" customHeight="true" outlineLevel="0" collapsed="false">
      <c r="A3" s="4" t="s">
        <v>138</v>
      </c>
      <c r="B3" s="4" t="s">
        <v>236</v>
      </c>
      <c r="C3" s="4" t="s">
        <v>237</v>
      </c>
      <c r="D3" s="4" t="s">
        <v>229</v>
      </c>
      <c r="E3" s="4" t="s">
        <v>13</v>
      </c>
    </row>
    <row r="4" customFormat="false" ht="33.75" hidden="false" customHeight="true" outlineLevel="0" collapsed="false">
      <c r="A4" s="5" t="s">
        <v>144</v>
      </c>
      <c r="B4" s="9" t="n">
        <v>0.75</v>
      </c>
      <c r="C4" s="9" t="n">
        <v>0.943</v>
      </c>
      <c r="D4" s="9" t="s">
        <v>238</v>
      </c>
      <c r="E4" s="9" t="s">
        <v>239</v>
      </c>
    </row>
    <row r="5" customFormat="false" ht="33.75" hidden="false" customHeight="true" outlineLevel="0" collapsed="false">
      <c r="A5" s="5" t="s">
        <v>173</v>
      </c>
      <c r="B5" s="9" t="n">
        <v>0.18</v>
      </c>
      <c r="C5" s="9" t="n">
        <v>0.386</v>
      </c>
      <c r="D5" s="9" t="s">
        <v>238</v>
      </c>
      <c r="E5" s="9" t="s">
        <v>240</v>
      </c>
    </row>
    <row r="6" customFormat="false" ht="33.75" hidden="false" customHeight="true" outlineLevel="0" collapsed="false">
      <c r="A6" s="5" t="s">
        <v>241</v>
      </c>
      <c r="B6" s="9" t="n">
        <v>0.08</v>
      </c>
      <c r="C6" s="9" t="n">
        <v>0.737</v>
      </c>
      <c r="D6" s="9" t="s">
        <v>238</v>
      </c>
      <c r="E6" s="9" t="s">
        <v>242</v>
      </c>
    </row>
    <row r="7" customFormat="false" ht="14.25" hidden="false" customHeight="true" outlineLevel="0" collapsed="false">
      <c r="B7" s="12"/>
      <c r="C7" s="12"/>
      <c r="D7" s="12"/>
      <c r="E7" s="12"/>
    </row>
    <row r="8" customFormat="false" ht="14.25" hidden="false" customHeight="true" outlineLevel="0" collapsed="false">
      <c r="B8" s="12"/>
      <c r="C8" s="12"/>
      <c r="D8" s="12"/>
      <c r="E8" s="12"/>
    </row>
    <row r="9" customFormat="false" ht="14.25" hidden="false" customHeight="true" outlineLevel="0" collapsed="false">
      <c r="B9" s="12"/>
      <c r="C9" s="12"/>
      <c r="D9" s="12"/>
      <c r="E9" s="12"/>
    </row>
    <row r="10" customFormat="false" ht="14.25" hidden="false" customHeight="true" outlineLevel="0" collapsed="false">
      <c r="B10" s="12"/>
      <c r="C10" s="12"/>
      <c r="D10" s="12"/>
      <c r="E10" s="12"/>
    </row>
    <row r="11" customFormat="false" ht="14.25" hidden="false" customHeight="true" outlineLevel="0" collapsed="false">
      <c r="B11" s="12"/>
      <c r="C11" s="12"/>
      <c r="D11" s="12"/>
      <c r="E11" s="12"/>
    </row>
    <row r="12" customFormat="false" ht="14.25" hidden="false" customHeight="true" outlineLevel="0" collapsed="false">
      <c r="B12" s="12"/>
      <c r="C12" s="12"/>
      <c r="D12" s="12"/>
      <c r="E12" s="12"/>
    </row>
    <row r="13" customFormat="false" ht="14.25" hidden="false" customHeight="true" outlineLevel="0" collapsed="false">
      <c r="B13" s="12"/>
      <c r="C13" s="12"/>
      <c r="D13" s="12"/>
      <c r="E13" s="12"/>
    </row>
    <row r="14" customFormat="false" ht="14.25" hidden="false" customHeight="true" outlineLevel="0" collapsed="false">
      <c r="B14" s="12"/>
      <c r="C14" s="12"/>
      <c r="D14" s="12"/>
      <c r="E14" s="12"/>
    </row>
    <row r="15" customFormat="false" ht="14.25" hidden="false" customHeight="true" outlineLevel="0" collapsed="false">
      <c r="B15" s="12"/>
      <c r="C15" s="12"/>
      <c r="D15" s="12"/>
      <c r="E15" s="12"/>
    </row>
    <row r="16" customFormat="false" ht="14.25" hidden="false" customHeight="true" outlineLevel="0" collapsed="false">
      <c r="B16" s="12"/>
      <c r="C16" s="12"/>
      <c r="D16" s="12"/>
      <c r="E16" s="12"/>
    </row>
    <row r="17" customFormat="false" ht="14.25" hidden="false" customHeight="true" outlineLevel="0" collapsed="false">
      <c r="B17" s="12"/>
      <c r="C17" s="12"/>
      <c r="D17" s="12"/>
      <c r="E17" s="12"/>
    </row>
    <row r="18" customFormat="false" ht="14.25" hidden="false" customHeight="true" outlineLevel="0" collapsed="false">
      <c r="B18" s="12"/>
      <c r="C18" s="12"/>
      <c r="D18" s="12"/>
      <c r="E18" s="12"/>
    </row>
    <row r="19" customFormat="false" ht="14.25" hidden="false" customHeight="true" outlineLevel="0" collapsed="false">
      <c r="B19" s="12"/>
      <c r="C19" s="12"/>
      <c r="D19" s="12"/>
      <c r="E19" s="12"/>
    </row>
    <row r="20" customFormat="false" ht="14.25" hidden="false" customHeight="true" outlineLevel="0" collapsed="false">
      <c r="B20" s="12"/>
      <c r="C20" s="12"/>
      <c r="D20" s="12"/>
      <c r="E20" s="12"/>
    </row>
    <row r="21" customFormat="false" ht="14.25" hidden="false" customHeight="true" outlineLevel="0" collapsed="false">
      <c r="B21" s="12"/>
      <c r="C21" s="12"/>
      <c r="D21" s="12"/>
      <c r="E21" s="12"/>
    </row>
    <row r="22" customFormat="false" ht="14.25" hidden="false" customHeight="true" outlineLevel="0" collapsed="false">
      <c r="B22" s="12"/>
      <c r="C22" s="12"/>
      <c r="D22" s="12"/>
      <c r="E22" s="12"/>
    </row>
    <row r="23" customFormat="false" ht="14.25" hidden="false" customHeight="true" outlineLevel="0" collapsed="false">
      <c r="B23" s="12"/>
      <c r="C23" s="12"/>
      <c r="D23" s="12"/>
      <c r="E23" s="12"/>
    </row>
    <row r="24" customFormat="false" ht="14.25" hidden="false" customHeight="true" outlineLevel="0" collapsed="false">
      <c r="B24" s="12"/>
      <c r="C24" s="12"/>
      <c r="D24" s="12"/>
      <c r="E24" s="12"/>
    </row>
    <row r="25" customFormat="false" ht="14.25" hidden="false" customHeight="true" outlineLevel="0" collapsed="false">
      <c r="B25" s="12"/>
      <c r="C25" s="12"/>
      <c r="D25" s="12"/>
      <c r="E25" s="12"/>
    </row>
    <row r="26" customFormat="false" ht="14.25" hidden="false" customHeight="true" outlineLevel="0" collapsed="false">
      <c r="B26" s="12"/>
      <c r="C26" s="12"/>
      <c r="D26" s="12"/>
      <c r="E26" s="12"/>
    </row>
    <row r="27" customFormat="false" ht="14.25" hidden="false" customHeight="true" outlineLevel="0" collapsed="false">
      <c r="B27" s="12"/>
      <c r="C27" s="12"/>
      <c r="D27" s="12"/>
      <c r="E27" s="12"/>
    </row>
    <row r="28" customFormat="false" ht="14.25" hidden="false" customHeight="true" outlineLevel="0" collapsed="false">
      <c r="B28" s="12"/>
      <c r="C28" s="12"/>
      <c r="D28" s="12"/>
      <c r="E28" s="12"/>
    </row>
    <row r="29" customFormat="false" ht="14.25" hidden="false" customHeight="true" outlineLevel="0" collapsed="false">
      <c r="B29" s="12"/>
      <c r="C29" s="12"/>
      <c r="D29" s="12"/>
      <c r="E29" s="12"/>
    </row>
    <row r="30" customFormat="false" ht="14.25" hidden="false" customHeight="true" outlineLevel="0" collapsed="false">
      <c r="B30" s="12"/>
      <c r="C30" s="12"/>
      <c r="D30" s="12"/>
      <c r="E30" s="12"/>
    </row>
    <row r="31" customFormat="false" ht="14.25" hidden="false" customHeight="true" outlineLevel="0" collapsed="false">
      <c r="B31" s="12"/>
      <c r="C31" s="12"/>
      <c r="D31" s="12"/>
      <c r="E31" s="12"/>
    </row>
    <row r="32" customFormat="false" ht="14.25" hidden="false" customHeight="true" outlineLevel="0" collapsed="false">
      <c r="B32" s="12"/>
      <c r="C32" s="12"/>
      <c r="D32" s="12"/>
      <c r="E32" s="12"/>
    </row>
    <row r="33" customFormat="false" ht="14.25" hidden="false" customHeight="true" outlineLevel="0" collapsed="false">
      <c r="B33" s="12"/>
      <c r="C33" s="12"/>
      <c r="D33" s="12"/>
      <c r="E33" s="12"/>
    </row>
    <row r="34" customFormat="false" ht="14.25" hidden="false" customHeight="true" outlineLevel="0" collapsed="false">
      <c r="B34" s="12"/>
      <c r="C34" s="12"/>
      <c r="D34" s="12"/>
      <c r="E34" s="12"/>
    </row>
    <row r="35" customFormat="false" ht="14.25" hidden="false" customHeight="true" outlineLevel="0" collapsed="false">
      <c r="B35" s="12"/>
      <c r="C35" s="12"/>
      <c r="D35" s="12"/>
      <c r="E35" s="12"/>
    </row>
    <row r="36" customFormat="false" ht="14.25" hidden="false" customHeight="true" outlineLevel="0" collapsed="false">
      <c r="B36" s="12"/>
      <c r="C36" s="12"/>
      <c r="D36" s="12"/>
      <c r="E36" s="12"/>
    </row>
    <row r="37" customFormat="false" ht="14.25" hidden="false" customHeight="true" outlineLevel="0" collapsed="false">
      <c r="B37" s="12"/>
      <c r="C37" s="12"/>
      <c r="D37" s="12"/>
      <c r="E37" s="12"/>
    </row>
    <row r="38" customFormat="false" ht="14.25" hidden="false" customHeight="true" outlineLevel="0" collapsed="false">
      <c r="B38" s="12"/>
      <c r="C38" s="12"/>
      <c r="D38" s="12"/>
      <c r="E38" s="12"/>
    </row>
    <row r="39" customFormat="false" ht="14.25" hidden="false" customHeight="true" outlineLevel="0" collapsed="false">
      <c r="B39" s="12"/>
      <c r="C39" s="12"/>
      <c r="D39" s="12"/>
      <c r="E39" s="12"/>
    </row>
    <row r="40" customFormat="false" ht="14.25" hidden="false" customHeight="true" outlineLevel="0" collapsed="false">
      <c r="B40" s="12"/>
      <c r="C40" s="12"/>
      <c r="D40" s="12"/>
      <c r="E40" s="12"/>
    </row>
    <row r="41" customFormat="false" ht="14.25" hidden="false" customHeight="true" outlineLevel="0" collapsed="false">
      <c r="B41" s="12"/>
      <c r="C41" s="12"/>
      <c r="D41" s="12"/>
      <c r="E41" s="12"/>
    </row>
    <row r="42" customFormat="false" ht="14.25" hidden="false" customHeight="true" outlineLevel="0" collapsed="false">
      <c r="B42" s="12"/>
      <c r="C42" s="12"/>
      <c r="D42" s="12"/>
      <c r="E42" s="12"/>
    </row>
    <row r="43" customFormat="false" ht="14.25" hidden="false" customHeight="true" outlineLevel="0" collapsed="false">
      <c r="B43" s="12"/>
      <c r="C43" s="12"/>
      <c r="D43" s="12"/>
      <c r="E43" s="12"/>
    </row>
    <row r="44" customFormat="false" ht="14.25" hidden="false" customHeight="true" outlineLevel="0" collapsed="false">
      <c r="B44" s="12"/>
      <c r="C44" s="12"/>
      <c r="D44" s="12"/>
      <c r="E44" s="12"/>
    </row>
    <row r="45" customFormat="false" ht="14.25" hidden="false" customHeight="true" outlineLevel="0" collapsed="false">
      <c r="B45" s="12"/>
      <c r="C45" s="12"/>
      <c r="D45" s="12"/>
      <c r="E45" s="12"/>
    </row>
    <row r="46" customFormat="false" ht="14.25" hidden="false" customHeight="true" outlineLevel="0" collapsed="false">
      <c r="B46" s="12"/>
      <c r="C46" s="12"/>
      <c r="D46" s="12"/>
      <c r="E46" s="12"/>
    </row>
    <row r="47" customFormat="false" ht="14.25" hidden="false" customHeight="true" outlineLevel="0" collapsed="false">
      <c r="B47" s="12"/>
      <c r="C47" s="12"/>
      <c r="D47" s="12"/>
      <c r="E47" s="12"/>
    </row>
    <row r="48" customFormat="false" ht="14.25" hidden="false" customHeight="true" outlineLevel="0" collapsed="false">
      <c r="B48" s="12"/>
      <c r="C48" s="12"/>
      <c r="D48" s="12"/>
      <c r="E48" s="12"/>
    </row>
    <row r="49" customFormat="false" ht="14.25" hidden="false" customHeight="true" outlineLevel="0" collapsed="false">
      <c r="B49" s="12"/>
      <c r="C49" s="12"/>
      <c r="D49" s="12"/>
      <c r="E49" s="12"/>
    </row>
    <row r="50" customFormat="false" ht="14.25" hidden="false" customHeight="true" outlineLevel="0" collapsed="false">
      <c r="B50" s="12"/>
      <c r="C50" s="12"/>
      <c r="D50" s="12"/>
      <c r="E50" s="12"/>
    </row>
    <row r="51" customFormat="false" ht="14.25" hidden="false" customHeight="true" outlineLevel="0" collapsed="false">
      <c r="B51" s="12"/>
      <c r="C51" s="12"/>
      <c r="D51" s="12"/>
      <c r="E51" s="12"/>
    </row>
    <row r="52" customFormat="false" ht="14.25" hidden="false" customHeight="true" outlineLevel="0" collapsed="false">
      <c r="B52" s="12"/>
      <c r="C52" s="12"/>
      <c r="D52" s="12"/>
      <c r="E52" s="12"/>
    </row>
    <row r="53" customFormat="false" ht="14.25" hidden="false" customHeight="true" outlineLevel="0" collapsed="false">
      <c r="B53" s="12"/>
      <c r="C53" s="12"/>
      <c r="D53" s="12"/>
      <c r="E53" s="12"/>
    </row>
    <row r="54" customFormat="false" ht="14.25" hidden="false" customHeight="true" outlineLevel="0" collapsed="false">
      <c r="B54" s="12"/>
      <c r="C54" s="12"/>
      <c r="D54" s="12"/>
      <c r="E54" s="12"/>
    </row>
    <row r="55" customFormat="false" ht="14.25" hidden="false" customHeight="true" outlineLevel="0" collapsed="false">
      <c r="B55" s="12"/>
      <c r="C55" s="12"/>
      <c r="D55" s="12"/>
      <c r="E55" s="12"/>
    </row>
    <row r="56" customFormat="false" ht="14.25" hidden="false" customHeight="true" outlineLevel="0" collapsed="false">
      <c r="B56" s="12"/>
      <c r="C56" s="12"/>
      <c r="D56" s="12"/>
      <c r="E56" s="12"/>
    </row>
    <row r="57" customFormat="false" ht="14.25" hidden="false" customHeight="true" outlineLevel="0" collapsed="false">
      <c r="B57" s="12"/>
      <c r="C57" s="12"/>
      <c r="D57" s="12"/>
      <c r="E57" s="12"/>
    </row>
    <row r="58" customFormat="false" ht="14.25" hidden="false" customHeight="true" outlineLevel="0" collapsed="false">
      <c r="B58" s="12"/>
      <c r="C58" s="12"/>
      <c r="D58" s="12"/>
      <c r="E58" s="12"/>
    </row>
    <row r="59" customFormat="false" ht="14.25" hidden="false" customHeight="true" outlineLevel="0" collapsed="false">
      <c r="B59" s="12"/>
      <c r="C59" s="12"/>
      <c r="D59" s="12"/>
      <c r="E59" s="12"/>
    </row>
    <row r="60" customFormat="false" ht="14.25" hidden="false" customHeight="true" outlineLevel="0" collapsed="false">
      <c r="B60" s="12"/>
      <c r="C60" s="12"/>
      <c r="D60" s="12"/>
      <c r="E60" s="12"/>
    </row>
    <row r="61" customFormat="false" ht="14.25" hidden="false" customHeight="true" outlineLevel="0" collapsed="false">
      <c r="B61" s="12"/>
      <c r="C61" s="12"/>
      <c r="D61" s="12"/>
      <c r="E61" s="12"/>
    </row>
    <row r="62" customFormat="false" ht="14.25" hidden="false" customHeight="true" outlineLevel="0" collapsed="false">
      <c r="B62" s="12"/>
      <c r="C62" s="12"/>
      <c r="D62" s="12"/>
      <c r="E62" s="12"/>
    </row>
    <row r="63" customFormat="false" ht="14.25" hidden="false" customHeight="true" outlineLevel="0" collapsed="false">
      <c r="B63" s="12"/>
      <c r="C63" s="12"/>
      <c r="D63" s="12"/>
      <c r="E63" s="12"/>
    </row>
    <row r="64" customFormat="false" ht="14.25" hidden="false" customHeight="true" outlineLevel="0" collapsed="false">
      <c r="B64" s="12"/>
      <c r="C64" s="12"/>
      <c r="D64" s="12"/>
      <c r="E64" s="12"/>
    </row>
    <row r="65" customFormat="false" ht="14.25" hidden="false" customHeight="true" outlineLevel="0" collapsed="false">
      <c r="B65" s="12"/>
      <c r="C65" s="12"/>
      <c r="D65" s="12"/>
      <c r="E65" s="12"/>
    </row>
    <row r="66" customFormat="false" ht="14.25" hidden="false" customHeight="true" outlineLevel="0" collapsed="false">
      <c r="B66" s="12"/>
      <c r="C66" s="12"/>
      <c r="D66" s="12"/>
      <c r="E66" s="12"/>
    </row>
    <row r="67" customFormat="false" ht="14.25" hidden="false" customHeight="true" outlineLevel="0" collapsed="false">
      <c r="B67" s="12"/>
      <c r="C67" s="12"/>
      <c r="D67" s="12"/>
      <c r="E67" s="12"/>
    </row>
    <row r="68" customFormat="false" ht="14.25" hidden="false" customHeight="true" outlineLevel="0" collapsed="false">
      <c r="B68" s="12"/>
      <c r="C68" s="12"/>
      <c r="D68" s="12"/>
      <c r="E68" s="12"/>
    </row>
    <row r="69" customFormat="false" ht="14.25" hidden="false" customHeight="true" outlineLevel="0" collapsed="false">
      <c r="B69" s="12"/>
      <c r="C69" s="12"/>
      <c r="D69" s="12"/>
      <c r="E69" s="12"/>
    </row>
    <row r="70" customFormat="false" ht="14.25" hidden="false" customHeight="true" outlineLevel="0" collapsed="false">
      <c r="B70" s="12"/>
      <c r="C70" s="12"/>
      <c r="D70" s="12"/>
      <c r="E70" s="12"/>
    </row>
    <row r="71" customFormat="false" ht="14.25" hidden="false" customHeight="true" outlineLevel="0" collapsed="false">
      <c r="B71" s="12"/>
      <c r="C71" s="12"/>
      <c r="D71" s="12"/>
      <c r="E71" s="12"/>
    </row>
    <row r="72" customFormat="false" ht="14.25" hidden="false" customHeight="true" outlineLevel="0" collapsed="false">
      <c r="B72" s="12"/>
      <c r="C72" s="12"/>
      <c r="D72" s="12"/>
      <c r="E72" s="12"/>
    </row>
    <row r="73" customFormat="false" ht="14.25" hidden="false" customHeight="true" outlineLevel="0" collapsed="false">
      <c r="B73" s="12"/>
      <c r="C73" s="12"/>
      <c r="D73" s="12"/>
      <c r="E73" s="12"/>
    </row>
    <row r="74" customFormat="false" ht="14.25" hidden="false" customHeight="true" outlineLevel="0" collapsed="false">
      <c r="B74" s="12"/>
      <c r="C74" s="12"/>
      <c r="D74" s="12"/>
      <c r="E74" s="12"/>
    </row>
    <row r="75" customFormat="false" ht="14.25" hidden="false" customHeight="true" outlineLevel="0" collapsed="false">
      <c r="B75" s="12"/>
      <c r="C75" s="12"/>
      <c r="D75" s="12"/>
      <c r="E75" s="12"/>
    </row>
    <row r="76" customFormat="false" ht="14.25" hidden="false" customHeight="true" outlineLevel="0" collapsed="false">
      <c r="B76" s="12"/>
      <c r="C76" s="12"/>
      <c r="D76" s="12"/>
      <c r="E76" s="12"/>
    </row>
    <row r="77" customFormat="false" ht="14.25" hidden="false" customHeight="true" outlineLevel="0" collapsed="false">
      <c r="B77" s="12"/>
      <c r="C77" s="12"/>
      <c r="D77" s="12"/>
      <c r="E77" s="12"/>
    </row>
    <row r="78" customFormat="false" ht="14.25" hidden="false" customHeight="true" outlineLevel="0" collapsed="false">
      <c r="B78" s="12"/>
      <c r="C78" s="12"/>
      <c r="D78" s="12"/>
      <c r="E78" s="12"/>
    </row>
    <row r="79" customFormat="false" ht="14.25" hidden="false" customHeight="true" outlineLevel="0" collapsed="false">
      <c r="B79" s="12"/>
      <c r="C79" s="12"/>
      <c r="D79" s="12"/>
      <c r="E79" s="12"/>
    </row>
    <row r="80" customFormat="false" ht="14.25" hidden="false" customHeight="true" outlineLevel="0" collapsed="false">
      <c r="B80" s="12"/>
      <c r="C80" s="12"/>
      <c r="D80" s="12"/>
      <c r="E80" s="12"/>
    </row>
    <row r="81" customFormat="false" ht="14.25" hidden="false" customHeight="true" outlineLevel="0" collapsed="false">
      <c r="B81" s="12"/>
      <c r="C81" s="12"/>
      <c r="D81" s="12"/>
      <c r="E81" s="12"/>
    </row>
    <row r="82" customFormat="false" ht="14.25" hidden="false" customHeight="true" outlineLevel="0" collapsed="false">
      <c r="B82" s="12"/>
      <c r="C82" s="12"/>
      <c r="D82" s="12"/>
      <c r="E82" s="12"/>
    </row>
    <row r="83" customFormat="false" ht="14.25" hidden="false" customHeight="true" outlineLevel="0" collapsed="false">
      <c r="B83" s="12"/>
      <c r="C83" s="12"/>
      <c r="D83" s="12"/>
      <c r="E83" s="12"/>
    </row>
    <row r="84" customFormat="false" ht="14.25" hidden="false" customHeight="true" outlineLevel="0" collapsed="false">
      <c r="B84" s="12"/>
      <c r="C84" s="12"/>
      <c r="D84" s="12"/>
      <c r="E84" s="12"/>
    </row>
    <row r="85" customFormat="false" ht="14.25" hidden="false" customHeight="true" outlineLevel="0" collapsed="false">
      <c r="B85" s="12"/>
      <c r="C85" s="12"/>
      <c r="D85" s="12"/>
      <c r="E85" s="12"/>
    </row>
    <row r="86" customFormat="false" ht="14.25" hidden="false" customHeight="true" outlineLevel="0" collapsed="false">
      <c r="B86" s="12"/>
      <c r="C86" s="12"/>
      <c r="D86" s="12"/>
      <c r="E86" s="12"/>
    </row>
    <row r="87" customFormat="false" ht="14.25" hidden="false" customHeight="true" outlineLevel="0" collapsed="false">
      <c r="B87" s="12"/>
      <c r="C87" s="12"/>
      <c r="D87" s="12"/>
      <c r="E87" s="12"/>
    </row>
    <row r="88" customFormat="false" ht="14.25" hidden="false" customHeight="true" outlineLevel="0" collapsed="false">
      <c r="B88" s="12"/>
      <c r="C88" s="12"/>
      <c r="D88" s="12"/>
      <c r="E88" s="12"/>
    </row>
    <row r="89" customFormat="false" ht="14.25" hidden="false" customHeight="true" outlineLevel="0" collapsed="false">
      <c r="B89" s="12"/>
      <c r="C89" s="12"/>
      <c r="D89" s="12"/>
      <c r="E89" s="12"/>
    </row>
    <row r="90" customFormat="false" ht="14.25" hidden="false" customHeight="true" outlineLevel="0" collapsed="false">
      <c r="B90" s="12"/>
      <c r="C90" s="12"/>
      <c r="D90" s="12"/>
      <c r="E90" s="12"/>
    </row>
    <row r="91" customFormat="false" ht="14.25" hidden="false" customHeight="true" outlineLevel="0" collapsed="false">
      <c r="B91" s="12"/>
      <c r="C91" s="12"/>
      <c r="D91" s="12"/>
      <c r="E91" s="12"/>
    </row>
    <row r="92" customFormat="false" ht="14.25" hidden="false" customHeight="true" outlineLevel="0" collapsed="false">
      <c r="B92" s="12"/>
      <c r="C92" s="12"/>
      <c r="D92" s="12"/>
      <c r="E92" s="12"/>
    </row>
    <row r="93" customFormat="false" ht="14.25" hidden="false" customHeight="true" outlineLevel="0" collapsed="false">
      <c r="B93" s="12"/>
      <c r="C93" s="12"/>
      <c r="D93" s="12"/>
      <c r="E93" s="12"/>
    </row>
    <row r="94" customFormat="false" ht="14.25" hidden="false" customHeight="true" outlineLevel="0" collapsed="false">
      <c r="B94" s="12"/>
      <c r="C94" s="12"/>
      <c r="D94" s="12"/>
      <c r="E94" s="12"/>
    </row>
    <row r="95" customFormat="false" ht="14.25" hidden="false" customHeight="true" outlineLevel="0" collapsed="false">
      <c r="B95" s="12"/>
      <c r="C95" s="12"/>
      <c r="D95" s="12"/>
      <c r="E95" s="12"/>
    </row>
    <row r="96" customFormat="false" ht="14.25" hidden="false" customHeight="true" outlineLevel="0" collapsed="false">
      <c r="B96" s="12"/>
      <c r="C96" s="12"/>
      <c r="D96" s="12"/>
      <c r="E96" s="12"/>
    </row>
    <row r="97" customFormat="false" ht="14.25" hidden="false" customHeight="true" outlineLevel="0" collapsed="false">
      <c r="B97" s="12"/>
      <c r="C97" s="12"/>
      <c r="D97" s="12"/>
      <c r="E97" s="12"/>
    </row>
    <row r="98" customFormat="false" ht="14.25" hidden="false" customHeight="true" outlineLevel="0" collapsed="false">
      <c r="B98" s="12"/>
      <c r="C98" s="12"/>
      <c r="D98" s="12"/>
      <c r="E98" s="12"/>
    </row>
    <row r="99" customFormat="false" ht="14.25" hidden="false" customHeight="true" outlineLevel="0" collapsed="false">
      <c r="B99" s="12"/>
      <c r="C99" s="12"/>
      <c r="D99" s="12"/>
      <c r="E99" s="12"/>
    </row>
    <row r="100" customFormat="false" ht="14.25" hidden="false" customHeight="true" outlineLevel="0" collapsed="false">
      <c r="B100" s="12"/>
      <c r="C100" s="12"/>
      <c r="D100" s="12"/>
      <c r="E100" s="12"/>
    </row>
    <row r="101" customFormat="false" ht="14.25" hidden="false" customHeight="true" outlineLevel="0" collapsed="false">
      <c r="B101" s="12"/>
      <c r="C101" s="12"/>
      <c r="D101" s="12"/>
      <c r="E101" s="12"/>
    </row>
    <row r="102" customFormat="false" ht="14.25" hidden="false" customHeight="true" outlineLevel="0" collapsed="false">
      <c r="B102" s="12"/>
      <c r="C102" s="12"/>
      <c r="D102" s="12"/>
      <c r="E102" s="12"/>
    </row>
    <row r="103" customFormat="false" ht="14.25" hidden="false" customHeight="true" outlineLevel="0" collapsed="false">
      <c r="B103" s="12"/>
      <c r="C103" s="12"/>
      <c r="D103" s="12"/>
      <c r="E103" s="12"/>
    </row>
    <row r="104" customFormat="false" ht="14.25" hidden="false" customHeight="true" outlineLevel="0" collapsed="false">
      <c r="B104" s="12"/>
      <c r="C104" s="12"/>
      <c r="D104" s="12"/>
      <c r="E104" s="12"/>
    </row>
    <row r="105" customFormat="false" ht="14.25" hidden="false" customHeight="true" outlineLevel="0" collapsed="false">
      <c r="B105" s="12"/>
      <c r="C105" s="12"/>
      <c r="D105" s="12"/>
      <c r="E105" s="12"/>
    </row>
    <row r="106" customFormat="false" ht="14.25" hidden="false" customHeight="true" outlineLevel="0" collapsed="false">
      <c r="B106" s="12"/>
      <c r="C106" s="12"/>
      <c r="D106" s="12"/>
      <c r="E106" s="12"/>
    </row>
    <row r="107" customFormat="false" ht="14.25" hidden="false" customHeight="true" outlineLevel="0" collapsed="false">
      <c r="B107" s="12"/>
      <c r="C107" s="12"/>
      <c r="D107" s="12"/>
      <c r="E107" s="12"/>
    </row>
    <row r="108" customFormat="false" ht="14.25" hidden="false" customHeight="true" outlineLevel="0" collapsed="false">
      <c r="B108" s="12"/>
      <c r="C108" s="12"/>
      <c r="D108" s="12"/>
      <c r="E108" s="12"/>
    </row>
    <row r="109" customFormat="false" ht="14.25" hidden="false" customHeight="true" outlineLevel="0" collapsed="false">
      <c r="B109" s="12"/>
      <c r="C109" s="12"/>
      <c r="D109" s="12"/>
      <c r="E109" s="12"/>
    </row>
    <row r="110" customFormat="false" ht="14.25" hidden="false" customHeight="true" outlineLevel="0" collapsed="false">
      <c r="B110" s="12"/>
      <c r="C110" s="12"/>
      <c r="D110" s="12"/>
      <c r="E110" s="12"/>
    </row>
    <row r="111" customFormat="false" ht="14.25" hidden="false" customHeight="true" outlineLevel="0" collapsed="false">
      <c r="B111" s="12"/>
      <c r="C111" s="12"/>
      <c r="D111" s="12"/>
      <c r="E111" s="12"/>
    </row>
    <row r="112" customFormat="false" ht="14.25" hidden="false" customHeight="true" outlineLevel="0" collapsed="false">
      <c r="B112" s="12"/>
      <c r="C112" s="12"/>
      <c r="D112" s="12"/>
      <c r="E112" s="12"/>
    </row>
    <row r="113" customFormat="false" ht="14.25" hidden="false" customHeight="true" outlineLevel="0" collapsed="false">
      <c r="B113" s="12"/>
      <c r="C113" s="12"/>
      <c r="D113" s="12"/>
      <c r="E113" s="12"/>
    </row>
    <row r="114" customFormat="false" ht="14.25" hidden="false" customHeight="true" outlineLevel="0" collapsed="false">
      <c r="B114" s="12"/>
      <c r="C114" s="12"/>
      <c r="D114" s="12"/>
      <c r="E114" s="12"/>
    </row>
    <row r="115" customFormat="false" ht="14.25" hidden="false" customHeight="true" outlineLevel="0" collapsed="false">
      <c r="B115" s="12"/>
      <c r="C115" s="12"/>
      <c r="D115" s="12"/>
      <c r="E115" s="12"/>
    </row>
    <row r="116" customFormat="false" ht="14.25" hidden="false" customHeight="true" outlineLevel="0" collapsed="false">
      <c r="B116" s="12"/>
      <c r="C116" s="12"/>
      <c r="D116" s="12"/>
      <c r="E116" s="12"/>
    </row>
    <row r="117" customFormat="false" ht="14.25" hidden="false" customHeight="true" outlineLevel="0" collapsed="false">
      <c r="B117" s="12"/>
      <c r="C117" s="12"/>
      <c r="D117" s="12"/>
      <c r="E117" s="12"/>
    </row>
    <row r="118" customFormat="false" ht="14.25" hidden="false" customHeight="true" outlineLevel="0" collapsed="false">
      <c r="B118" s="12"/>
      <c r="C118" s="12"/>
      <c r="D118" s="12"/>
      <c r="E118" s="12"/>
    </row>
    <row r="119" customFormat="false" ht="14.25" hidden="false" customHeight="true" outlineLevel="0" collapsed="false">
      <c r="B119" s="12"/>
      <c r="C119" s="12"/>
      <c r="D119" s="12"/>
      <c r="E119" s="12"/>
    </row>
    <row r="120" customFormat="false" ht="14.25" hidden="false" customHeight="true" outlineLevel="0" collapsed="false">
      <c r="B120" s="12"/>
      <c r="C120" s="12"/>
      <c r="D120" s="12"/>
      <c r="E120" s="12"/>
    </row>
    <row r="121" customFormat="false" ht="14.25" hidden="false" customHeight="true" outlineLevel="0" collapsed="false">
      <c r="B121" s="12"/>
      <c r="C121" s="12"/>
      <c r="D121" s="12"/>
      <c r="E121" s="12"/>
    </row>
    <row r="122" customFormat="false" ht="14.25" hidden="false" customHeight="true" outlineLevel="0" collapsed="false">
      <c r="B122" s="12"/>
      <c r="C122" s="12"/>
      <c r="D122" s="12"/>
      <c r="E122" s="12"/>
    </row>
    <row r="123" customFormat="false" ht="14.25" hidden="false" customHeight="true" outlineLevel="0" collapsed="false">
      <c r="B123" s="12"/>
      <c r="C123" s="12"/>
      <c r="D123" s="12"/>
      <c r="E123" s="12"/>
    </row>
    <row r="124" customFormat="false" ht="14.25" hidden="false" customHeight="true" outlineLevel="0" collapsed="false">
      <c r="B124" s="12"/>
      <c r="C124" s="12"/>
      <c r="D124" s="12"/>
      <c r="E124" s="12"/>
    </row>
    <row r="125" customFormat="false" ht="14.25" hidden="false" customHeight="true" outlineLevel="0" collapsed="false">
      <c r="B125" s="12"/>
      <c r="C125" s="12"/>
      <c r="D125" s="12"/>
      <c r="E125" s="12"/>
    </row>
    <row r="126" customFormat="false" ht="14.25" hidden="false" customHeight="true" outlineLevel="0" collapsed="false">
      <c r="B126" s="12"/>
      <c r="C126" s="12"/>
      <c r="D126" s="12"/>
      <c r="E126" s="12"/>
    </row>
    <row r="127" customFormat="false" ht="14.25" hidden="false" customHeight="true" outlineLevel="0" collapsed="false">
      <c r="B127" s="12"/>
      <c r="C127" s="12"/>
      <c r="D127" s="12"/>
      <c r="E127" s="12"/>
    </row>
    <row r="128" customFormat="false" ht="14.25" hidden="false" customHeight="true" outlineLevel="0" collapsed="false">
      <c r="B128" s="12"/>
      <c r="C128" s="12"/>
      <c r="D128" s="12"/>
      <c r="E128" s="12"/>
    </row>
    <row r="129" customFormat="false" ht="14.25" hidden="false" customHeight="true" outlineLevel="0" collapsed="false">
      <c r="B129" s="12"/>
      <c r="C129" s="12"/>
      <c r="D129" s="12"/>
      <c r="E129" s="12"/>
    </row>
    <row r="130" customFormat="false" ht="14.25" hidden="false" customHeight="true" outlineLevel="0" collapsed="false">
      <c r="B130" s="12"/>
      <c r="C130" s="12"/>
      <c r="D130" s="12"/>
      <c r="E130" s="12"/>
    </row>
    <row r="131" customFormat="false" ht="14.25" hidden="false" customHeight="true" outlineLevel="0" collapsed="false">
      <c r="B131" s="12"/>
      <c r="C131" s="12"/>
      <c r="D131" s="12"/>
      <c r="E131" s="12"/>
    </row>
    <row r="132" customFormat="false" ht="14.25" hidden="false" customHeight="true" outlineLevel="0" collapsed="false">
      <c r="B132" s="12"/>
      <c r="C132" s="12"/>
      <c r="D132" s="12"/>
      <c r="E132" s="12"/>
    </row>
    <row r="133" customFormat="false" ht="14.25" hidden="false" customHeight="true" outlineLevel="0" collapsed="false">
      <c r="B133" s="12"/>
      <c r="C133" s="12"/>
      <c r="D133" s="12"/>
      <c r="E133" s="12"/>
    </row>
    <row r="134" customFormat="false" ht="14.25" hidden="false" customHeight="true" outlineLevel="0" collapsed="false">
      <c r="B134" s="12"/>
      <c r="C134" s="12"/>
      <c r="D134" s="12"/>
      <c r="E134" s="12"/>
    </row>
    <row r="135" customFormat="false" ht="14.25" hidden="false" customHeight="true" outlineLevel="0" collapsed="false">
      <c r="B135" s="12"/>
      <c r="C135" s="12"/>
      <c r="D135" s="12"/>
      <c r="E135" s="12"/>
    </row>
    <row r="136" customFormat="false" ht="14.25" hidden="false" customHeight="true" outlineLevel="0" collapsed="false">
      <c r="B136" s="12"/>
      <c r="C136" s="12"/>
      <c r="D136" s="12"/>
      <c r="E136" s="12"/>
    </row>
    <row r="137" customFormat="false" ht="14.25" hidden="false" customHeight="true" outlineLevel="0" collapsed="false">
      <c r="B137" s="12"/>
      <c r="C137" s="12"/>
      <c r="D137" s="12"/>
      <c r="E137" s="12"/>
    </row>
    <row r="138" customFormat="false" ht="14.25" hidden="false" customHeight="true" outlineLevel="0" collapsed="false">
      <c r="B138" s="12"/>
      <c r="C138" s="12"/>
      <c r="D138" s="12"/>
      <c r="E138" s="12"/>
    </row>
    <row r="139" customFormat="false" ht="14.25" hidden="false" customHeight="true" outlineLevel="0" collapsed="false">
      <c r="B139" s="12"/>
      <c r="C139" s="12"/>
      <c r="D139" s="12"/>
      <c r="E139" s="12"/>
    </row>
    <row r="140" customFormat="false" ht="14.25" hidden="false" customHeight="true" outlineLevel="0" collapsed="false">
      <c r="B140" s="12"/>
      <c r="C140" s="12"/>
      <c r="D140" s="12"/>
      <c r="E140" s="12"/>
    </row>
    <row r="141" customFormat="false" ht="14.25" hidden="false" customHeight="true" outlineLevel="0" collapsed="false">
      <c r="B141" s="12"/>
      <c r="C141" s="12"/>
      <c r="D141" s="12"/>
      <c r="E141" s="12"/>
    </row>
    <row r="142" customFormat="false" ht="14.25" hidden="false" customHeight="true" outlineLevel="0" collapsed="false">
      <c r="B142" s="12"/>
      <c r="C142" s="12"/>
      <c r="D142" s="12"/>
      <c r="E142" s="12"/>
    </row>
    <row r="143" customFormat="false" ht="14.25" hidden="false" customHeight="true" outlineLevel="0" collapsed="false">
      <c r="B143" s="12"/>
      <c r="C143" s="12"/>
      <c r="D143" s="12"/>
      <c r="E143" s="12"/>
    </row>
    <row r="144" customFormat="false" ht="14.25" hidden="false" customHeight="true" outlineLevel="0" collapsed="false">
      <c r="B144" s="12"/>
      <c r="C144" s="12"/>
      <c r="D144" s="12"/>
      <c r="E144" s="12"/>
    </row>
    <row r="145" customFormat="false" ht="14.25" hidden="false" customHeight="true" outlineLevel="0" collapsed="false">
      <c r="B145" s="12"/>
      <c r="C145" s="12"/>
      <c r="D145" s="12"/>
      <c r="E145" s="12"/>
    </row>
    <row r="146" customFormat="false" ht="14.25" hidden="false" customHeight="true" outlineLevel="0" collapsed="false">
      <c r="B146" s="12"/>
      <c r="C146" s="12"/>
      <c r="D146" s="12"/>
      <c r="E146" s="12"/>
    </row>
    <row r="147" customFormat="false" ht="14.25" hidden="false" customHeight="true" outlineLevel="0" collapsed="false">
      <c r="B147" s="12"/>
      <c r="C147" s="12"/>
      <c r="D147" s="12"/>
      <c r="E147" s="12"/>
    </row>
    <row r="148" customFormat="false" ht="14.25" hidden="false" customHeight="true" outlineLevel="0" collapsed="false">
      <c r="B148" s="12"/>
      <c r="C148" s="12"/>
      <c r="D148" s="12"/>
      <c r="E148" s="12"/>
    </row>
    <row r="149" customFormat="false" ht="14.25" hidden="false" customHeight="true" outlineLevel="0" collapsed="false">
      <c r="B149" s="12"/>
      <c r="C149" s="12"/>
      <c r="D149" s="12"/>
      <c r="E149" s="12"/>
    </row>
    <row r="150" customFormat="false" ht="14.25" hidden="false" customHeight="true" outlineLevel="0" collapsed="false">
      <c r="B150" s="12"/>
      <c r="C150" s="12"/>
      <c r="D150" s="12"/>
      <c r="E150" s="12"/>
    </row>
    <row r="151" customFormat="false" ht="14.25" hidden="false" customHeight="true" outlineLevel="0" collapsed="false">
      <c r="B151" s="12"/>
      <c r="C151" s="12"/>
      <c r="D151" s="12"/>
      <c r="E151" s="12"/>
    </row>
    <row r="152" customFormat="false" ht="14.25" hidden="false" customHeight="true" outlineLevel="0" collapsed="false">
      <c r="B152" s="12"/>
      <c r="C152" s="12"/>
      <c r="D152" s="12"/>
      <c r="E152" s="12"/>
    </row>
    <row r="153" customFormat="false" ht="14.25" hidden="false" customHeight="true" outlineLevel="0" collapsed="false">
      <c r="B153" s="12"/>
      <c r="C153" s="12"/>
      <c r="D153" s="12"/>
      <c r="E153" s="12"/>
    </row>
    <row r="154" customFormat="false" ht="14.25" hidden="false" customHeight="true" outlineLevel="0" collapsed="false">
      <c r="B154" s="12"/>
      <c r="C154" s="12"/>
      <c r="D154" s="12"/>
      <c r="E154" s="12"/>
    </row>
    <row r="155" customFormat="false" ht="14.25" hidden="false" customHeight="true" outlineLevel="0" collapsed="false">
      <c r="B155" s="12"/>
      <c r="C155" s="12"/>
      <c r="D155" s="12"/>
      <c r="E155" s="12"/>
    </row>
    <row r="156" customFormat="false" ht="14.25" hidden="false" customHeight="true" outlineLevel="0" collapsed="false">
      <c r="B156" s="12"/>
      <c r="C156" s="12"/>
      <c r="D156" s="12"/>
      <c r="E156" s="12"/>
    </row>
    <row r="157" customFormat="false" ht="14.25" hidden="false" customHeight="true" outlineLevel="0" collapsed="false">
      <c r="B157" s="12"/>
      <c r="C157" s="12"/>
      <c r="D157" s="12"/>
      <c r="E157" s="12"/>
    </row>
    <row r="158" customFormat="false" ht="14.25" hidden="false" customHeight="true" outlineLevel="0" collapsed="false">
      <c r="B158" s="12"/>
      <c r="C158" s="12"/>
      <c r="D158" s="12"/>
      <c r="E158" s="12"/>
    </row>
    <row r="159" customFormat="false" ht="14.25" hidden="false" customHeight="true" outlineLevel="0" collapsed="false">
      <c r="B159" s="12"/>
      <c r="C159" s="12"/>
      <c r="D159" s="12"/>
      <c r="E159" s="12"/>
    </row>
    <row r="160" customFormat="false" ht="14.25" hidden="false" customHeight="true" outlineLevel="0" collapsed="false">
      <c r="B160" s="12"/>
      <c r="C160" s="12"/>
      <c r="D160" s="12"/>
      <c r="E160" s="12"/>
    </row>
    <row r="161" customFormat="false" ht="14.25" hidden="false" customHeight="true" outlineLevel="0" collapsed="false">
      <c r="B161" s="12"/>
      <c r="C161" s="12"/>
      <c r="D161" s="12"/>
      <c r="E161" s="12"/>
    </row>
    <row r="162" customFormat="false" ht="14.25" hidden="false" customHeight="true" outlineLevel="0" collapsed="false">
      <c r="B162" s="12"/>
      <c r="C162" s="12"/>
      <c r="D162" s="12"/>
      <c r="E162" s="12"/>
    </row>
    <row r="163" customFormat="false" ht="14.25" hidden="false" customHeight="true" outlineLevel="0" collapsed="false">
      <c r="B163" s="12"/>
      <c r="C163" s="12"/>
      <c r="D163" s="12"/>
      <c r="E163" s="12"/>
    </row>
    <row r="164" customFormat="false" ht="14.25" hidden="false" customHeight="true" outlineLevel="0" collapsed="false">
      <c r="B164" s="12"/>
      <c r="C164" s="12"/>
      <c r="D164" s="12"/>
      <c r="E164" s="12"/>
    </row>
    <row r="165" customFormat="false" ht="14.25" hidden="false" customHeight="true" outlineLevel="0" collapsed="false">
      <c r="B165" s="12"/>
      <c r="C165" s="12"/>
      <c r="D165" s="12"/>
      <c r="E165" s="12"/>
    </row>
    <row r="166" customFormat="false" ht="14.25" hidden="false" customHeight="true" outlineLevel="0" collapsed="false">
      <c r="B166" s="12"/>
      <c r="C166" s="12"/>
      <c r="D166" s="12"/>
      <c r="E166" s="12"/>
    </row>
    <row r="167" customFormat="false" ht="14.25" hidden="false" customHeight="true" outlineLevel="0" collapsed="false">
      <c r="B167" s="12"/>
      <c r="C167" s="12"/>
      <c r="D167" s="12"/>
      <c r="E167" s="12"/>
    </row>
    <row r="168" customFormat="false" ht="14.25" hidden="false" customHeight="true" outlineLevel="0" collapsed="false">
      <c r="B168" s="12"/>
      <c r="C168" s="12"/>
      <c r="D168" s="12"/>
      <c r="E168" s="12"/>
    </row>
    <row r="169" customFormat="false" ht="14.25" hidden="false" customHeight="true" outlineLevel="0" collapsed="false">
      <c r="B169" s="12"/>
      <c r="C169" s="12"/>
      <c r="D169" s="12"/>
      <c r="E169" s="12"/>
    </row>
    <row r="170" customFormat="false" ht="14.25" hidden="false" customHeight="true" outlineLevel="0" collapsed="false">
      <c r="B170" s="12"/>
      <c r="C170" s="12"/>
      <c r="D170" s="12"/>
      <c r="E170" s="12"/>
    </row>
    <row r="171" customFormat="false" ht="14.25" hidden="false" customHeight="true" outlineLevel="0" collapsed="false">
      <c r="B171" s="12"/>
      <c r="C171" s="12"/>
      <c r="D171" s="12"/>
      <c r="E171" s="12"/>
    </row>
    <row r="172" customFormat="false" ht="14.25" hidden="false" customHeight="true" outlineLevel="0" collapsed="false">
      <c r="B172" s="12"/>
      <c r="C172" s="12"/>
      <c r="D172" s="12"/>
      <c r="E172" s="12"/>
    </row>
    <row r="173" customFormat="false" ht="14.25" hidden="false" customHeight="true" outlineLevel="0" collapsed="false">
      <c r="B173" s="12"/>
      <c r="C173" s="12"/>
      <c r="D173" s="12"/>
      <c r="E173" s="12"/>
    </row>
    <row r="174" customFormat="false" ht="14.25" hidden="false" customHeight="true" outlineLevel="0" collapsed="false">
      <c r="B174" s="12"/>
      <c r="C174" s="12"/>
      <c r="D174" s="12"/>
      <c r="E174" s="12"/>
    </row>
    <row r="175" customFormat="false" ht="14.25" hidden="false" customHeight="true" outlineLevel="0" collapsed="false">
      <c r="B175" s="12"/>
      <c r="C175" s="12"/>
      <c r="D175" s="12"/>
      <c r="E175" s="12"/>
    </row>
    <row r="176" customFormat="false" ht="14.25" hidden="false" customHeight="true" outlineLevel="0" collapsed="false">
      <c r="B176" s="12"/>
      <c r="C176" s="12"/>
      <c r="D176" s="12"/>
      <c r="E176" s="12"/>
    </row>
    <row r="177" customFormat="false" ht="14.25" hidden="false" customHeight="true" outlineLevel="0" collapsed="false">
      <c r="B177" s="12"/>
      <c r="C177" s="12"/>
      <c r="D177" s="12"/>
      <c r="E177" s="12"/>
    </row>
    <row r="178" customFormat="false" ht="14.25" hidden="false" customHeight="true" outlineLevel="0" collapsed="false">
      <c r="B178" s="12"/>
      <c r="C178" s="12"/>
      <c r="D178" s="12"/>
      <c r="E178" s="12"/>
    </row>
    <row r="179" customFormat="false" ht="14.25" hidden="false" customHeight="true" outlineLevel="0" collapsed="false">
      <c r="B179" s="12"/>
      <c r="C179" s="12"/>
      <c r="D179" s="12"/>
      <c r="E179" s="12"/>
    </row>
    <row r="180" customFormat="false" ht="14.25" hidden="false" customHeight="true" outlineLevel="0" collapsed="false">
      <c r="B180" s="12"/>
      <c r="C180" s="12"/>
      <c r="D180" s="12"/>
      <c r="E180" s="12"/>
    </row>
    <row r="181" customFormat="false" ht="14.25" hidden="false" customHeight="true" outlineLevel="0" collapsed="false">
      <c r="B181" s="12"/>
      <c r="C181" s="12"/>
      <c r="D181" s="12"/>
      <c r="E181" s="12"/>
    </row>
    <row r="182" customFormat="false" ht="14.25" hidden="false" customHeight="true" outlineLevel="0" collapsed="false">
      <c r="B182" s="12"/>
      <c r="C182" s="12"/>
      <c r="D182" s="12"/>
      <c r="E182" s="12"/>
    </row>
    <row r="183" customFormat="false" ht="14.25" hidden="false" customHeight="true" outlineLevel="0" collapsed="false">
      <c r="B183" s="12"/>
      <c r="C183" s="12"/>
      <c r="D183" s="12"/>
      <c r="E183" s="12"/>
    </row>
    <row r="184" customFormat="false" ht="14.25" hidden="false" customHeight="true" outlineLevel="0" collapsed="false">
      <c r="B184" s="12"/>
      <c r="C184" s="12"/>
      <c r="D184" s="12"/>
      <c r="E184" s="12"/>
    </row>
    <row r="185" customFormat="false" ht="14.25" hidden="false" customHeight="true" outlineLevel="0" collapsed="false">
      <c r="B185" s="12"/>
      <c r="C185" s="12"/>
      <c r="D185" s="12"/>
      <c r="E185" s="12"/>
    </row>
    <row r="186" customFormat="false" ht="14.25" hidden="false" customHeight="true" outlineLevel="0" collapsed="false">
      <c r="B186" s="12"/>
      <c r="C186" s="12"/>
      <c r="D186" s="12"/>
      <c r="E186" s="12"/>
    </row>
    <row r="187" customFormat="false" ht="14.25" hidden="false" customHeight="true" outlineLevel="0" collapsed="false">
      <c r="B187" s="12"/>
      <c r="C187" s="12"/>
      <c r="D187" s="12"/>
      <c r="E187" s="12"/>
    </row>
    <row r="188" customFormat="false" ht="14.25" hidden="false" customHeight="true" outlineLevel="0" collapsed="false">
      <c r="B188" s="12"/>
      <c r="C188" s="12"/>
      <c r="D188" s="12"/>
      <c r="E188" s="12"/>
    </row>
    <row r="189" customFormat="false" ht="14.25" hidden="false" customHeight="true" outlineLevel="0" collapsed="false">
      <c r="B189" s="12"/>
      <c r="C189" s="12"/>
      <c r="D189" s="12"/>
      <c r="E189" s="12"/>
    </row>
    <row r="190" customFormat="false" ht="14.25" hidden="false" customHeight="true" outlineLevel="0" collapsed="false">
      <c r="B190" s="12"/>
      <c r="C190" s="12"/>
      <c r="D190" s="12"/>
      <c r="E190" s="12"/>
    </row>
    <row r="191" customFormat="false" ht="14.25" hidden="false" customHeight="true" outlineLevel="0" collapsed="false">
      <c r="B191" s="12"/>
      <c r="C191" s="12"/>
      <c r="D191" s="12"/>
      <c r="E191" s="12"/>
    </row>
    <row r="192" customFormat="false" ht="14.25" hidden="false" customHeight="true" outlineLevel="0" collapsed="false">
      <c r="B192" s="12"/>
      <c r="C192" s="12"/>
      <c r="D192" s="12"/>
      <c r="E192" s="12"/>
    </row>
    <row r="193" customFormat="false" ht="14.25" hidden="false" customHeight="true" outlineLevel="0" collapsed="false">
      <c r="B193" s="12"/>
      <c r="C193" s="12"/>
      <c r="D193" s="12"/>
      <c r="E193" s="12"/>
    </row>
    <row r="194" customFormat="false" ht="14.25" hidden="false" customHeight="true" outlineLevel="0" collapsed="false">
      <c r="B194" s="12"/>
      <c r="C194" s="12"/>
      <c r="D194" s="12"/>
      <c r="E194" s="12"/>
    </row>
    <row r="195" customFormat="false" ht="14.25" hidden="false" customHeight="true" outlineLevel="0" collapsed="false">
      <c r="B195" s="12"/>
      <c r="C195" s="12"/>
      <c r="D195" s="12"/>
      <c r="E195" s="12"/>
    </row>
    <row r="196" customFormat="false" ht="14.25" hidden="false" customHeight="true" outlineLevel="0" collapsed="false">
      <c r="B196" s="12"/>
      <c r="C196" s="12"/>
      <c r="D196" s="12"/>
      <c r="E196" s="12"/>
    </row>
    <row r="197" customFormat="false" ht="14.25" hidden="false" customHeight="true" outlineLevel="0" collapsed="false">
      <c r="B197" s="12"/>
      <c r="C197" s="12"/>
      <c r="D197" s="12"/>
      <c r="E197" s="12"/>
    </row>
    <row r="198" customFormat="false" ht="14.25" hidden="false" customHeight="true" outlineLevel="0" collapsed="false">
      <c r="B198" s="12"/>
      <c r="C198" s="12"/>
      <c r="D198" s="12"/>
      <c r="E198" s="12"/>
    </row>
    <row r="199" customFormat="false" ht="14.25" hidden="false" customHeight="true" outlineLevel="0" collapsed="false">
      <c r="B199" s="12"/>
      <c r="C199" s="12"/>
      <c r="D199" s="12"/>
      <c r="E199" s="12"/>
    </row>
    <row r="200" customFormat="false" ht="14.25" hidden="false" customHeight="true" outlineLevel="0" collapsed="false">
      <c r="B200" s="12"/>
      <c r="C200" s="12"/>
      <c r="D200" s="12"/>
      <c r="E200" s="12"/>
    </row>
    <row r="201" customFormat="false" ht="14.25" hidden="false" customHeight="true" outlineLevel="0" collapsed="false">
      <c r="B201" s="12"/>
      <c r="C201" s="12"/>
      <c r="D201" s="12"/>
      <c r="E201" s="12"/>
    </row>
    <row r="202" customFormat="false" ht="14.25" hidden="false" customHeight="true" outlineLevel="0" collapsed="false">
      <c r="B202" s="12"/>
      <c r="C202" s="12"/>
      <c r="D202" s="12"/>
      <c r="E202" s="12"/>
    </row>
    <row r="203" customFormat="false" ht="14.25" hidden="false" customHeight="true" outlineLevel="0" collapsed="false">
      <c r="B203" s="12"/>
      <c r="C203" s="12"/>
      <c r="D203" s="12"/>
      <c r="E203" s="12"/>
    </row>
    <row r="204" customFormat="false" ht="14.25" hidden="false" customHeight="true" outlineLevel="0" collapsed="false">
      <c r="B204" s="12"/>
      <c r="C204" s="12"/>
      <c r="D204" s="12"/>
      <c r="E204" s="12"/>
    </row>
    <row r="205" customFormat="false" ht="14.25" hidden="false" customHeight="true" outlineLevel="0" collapsed="false">
      <c r="B205" s="12"/>
      <c r="C205" s="12"/>
      <c r="D205" s="12"/>
      <c r="E205" s="12"/>
    </row>
    <row r="206" customFormat="false" ht="14.25" hidden="false" customHeight="true" outlineLevel="0" collapsed="false">
      <c r="B206" s="12"/>
      <c r="C206" s="12"/>
      <c r="D206" s="12"/>
      <c r="E206" s="12"/>
    </row>
    <row r="207" customFormat="false" ht="14.25" hidden="false" customHeight="true" outlineLevel="0" collapsed="false">
      <c r="B207" s="12"/>
      <c r="C207" s="12"/>
      <c r="D207" s="12"/>
      <c r="E207" s="12"/>
    </row>
    <row r="208" customFormat="false" ht="14.25" hidden="false" customHeight="true" outlineLevel="0" collapsed="false">
      <c r="B208" s="12"/>
      <c r="C208" s="12"/>
      <c r="D208" s="12"/>
      <c r="E208" s="12"/>
    </row>
    <row r="209" customFormat="false" ht="14.25" hidden="false" customHeight="true" outlineLevel="0" collapsed="false">
      <c r="B209" s="12"/>
      <c r="C209" s="12"/>
      <c r="D209" s="12"/>
      <c r="E209" s="12"/>
    </row>
    <row r="210" customFormat="false" ht="14.25" hidden="false" customHeight="true" outlineLevel="0" collapsed="false">
      <c r="B210" s="12"/>
      <c r="C210" s="12"/>
      <c r="D210" s="12"/>
      <c r="E210" s="12"/>
    </row>
    <row r="211" customFormat="false" ht="14.25" hidden="false" customHeight="true" outlineLevel="0" collapsed="false">
      <c r="B211" s="12"/>
      <c r="C211" s="12"/>
      <c r="D211" s="12"/>
      <c r="E211" s="12"/>
    </row>
    <row r="212" customFormat="false" ht="14.25" hidden="false" customHeight="true" outlineLevel="0" collapsed="false">
      <c r="B212" s="12"/>
      <c r="C212" s="12"/>
      <c r="D212" s="12"/>
      <c r="E212" s="12"/>
    </row>
    <row r="213" customFormat="false" ht="14.25" hidden="false" customHeight="true" outlineLevel="0" collapsed="false">
      <c r="B213" s="12"/>
      <c r="C213" s="12"/>
      <c r="D213" s="12"/>
      <c r="E213" s="12"/>
    </row>
    <row r="214" customFormat="false" ht="14.25" hidden="false" customHeight="true" outlineLevel="0" collapsed="false">
      <c r="B214" s="12"/>
      <c r="C214" s="12"/>
      <c r="D214" s="12"/>
      <c r="E214" s="12"/>
    </row>
    <row r="215" customFormat="false" ht="14.25" hidden="false" customHeight="true" outlineLevel="0" collapsed="false">
      <c r="B215" s="12"/>
      <c r="C215" s="12"/>
      <c r="D215" s="12"/>
      <c r="E215" s="12"/>
    </row>
    <row r="216" customFormat="false" ht="14.25" hidden="false" customHeight="true" outlineLevel="0" collapsed="false">
      <c r="B216" s="12"/>
      <c r="C216" s="12"/>
      <c r="D216" s="12"/>
      <c r="E216" s="12"/>
    </row>
    <row r="217" customFormat="false" ht="14.25" hidden="false" customHeight="true" outlineLevel="0" collapsed="false">
      <c r="B217" s="12"/>
      <c r="C217" s="12"/>
      <c r="D217" s="12"/>
      <c r="E217" s="12"/>
    </row>
    <row r="218" customFormat="false" ht="14.25" hidden="false" customHeight="true" outlineLevel="0" collapsed="false">
      <c r="B218" s="12"/>
      <c r="C218" s="12"/>
      <c r="D218" s="12"/>
      <c r="E218" s="12"/>
    </row>
    <row r="219" customFormat="false" ht="14.25" hidden="false" customHeight="true" outlineLevel="0" collapsed="false">
      <c r="B219" s="12"/>
      <c r="C219" s="12"/>
      <c r="D219" s="12"/>
      <c r="E219" s="12"/>
    </row>
    <row r="220" customFormat="false" ht="14.25" hidden="false" customHeight="true" outlineLevel="0" collapsed="false">
      <c r="B220" s="12"/>
      <c r="C220" s="12"/>
      <c r="D220" s="12"/>
      <c r="E220" s="12"/>
    </row>
    <row r="221" customFormat="false" ht="14.25" hidden="false" customHeight="true" outlineLevel="0" collapsed="false">
      <c r="B221" s="12"/>
      <c r="C221" s="12"/>
      <c r="D221" s="12"/>
      <c r="E221" s="12"/>
    </row>
    <row r="222" customFormat="false" ht="14.25" hidden="false" customHeight="true" outlineLevel="0" collapsed="false">
      <c r="B222" s="12"/>
      <c r="C222" s="12"/>
      <c r="D222" s="12"/>
      <c r="E222" s="12"/>
    </row>
    <row r="223" customFormat="false" ht="14.25" hidden="false" customHeight="true" outlineLevel="0" collapsed="false">
      <c r="B223" s="12"/>
      <c r="C223" s="12"/>
      <c r="D223" s="12"/>
      <c r="E223" s="12"/>
    </row>
    <row r="224" customFormat="false" ht="14.25" hidden="false" customHeight="true" outlineLevel="0" collapsed="false">
      <c r="B224" s="12"/>
      <c r="C224" s="12"/>
      <c r="D224" s="12"/>
      <c r="E224" s="12"/>
    </row>
    <row r="225" customFormat="false" ht="14.25" hidden="false" customHeight="true" outlineLevel="0" collapsed="false">
      <c r="B225" s="12"/>
      <c r="C225" s="12"/>
      <c r="D225" s="12"/>
      <c r="E225" s="12"/>
    </row>
    <row r="226" customFormat="false" ht="14.25" hidden="false" customHeight="true" outlineLevel="0" collapsed="false">
      <c r="B226" s="12"/>
      <c r="C226" s="12"/>
      <c r="D226" s="12"/>
      <c r="E226" s="12"/>
    </row>
    <row r="227" customFormat="false" ht="14.25" hidden="false" customHeight="true" outlineLevel="0" collapsed="false">
      <c r="B227" s="12"/>
      <c r="C227" s="12"/>
      <c r="D227" s="12"/>
      <c r="E227" s="12"/>
    </row>
    <row r="228" customFormat="false" ht="14.25" hidden="false" customHeight="true" outlineLevel="0" collapsed="false">
      <c r="B228" s="12"/>
      <c r="C228" s="12"/>
      <c r="D228" s="12"/>
      <c r="E228" s="12"/>
    </row>
    <row r="229" customFormat="false" ht="14.25" hidden="false" customHeight="true" outlineLevel="0" collapsed="false">
      <c r="B229" s="12"/>
      <c r="C229" s="12"/>
      <c r="D229" s="12"/>
      <c r="E229" s="12"/>
    </row>
    <row r="230" customFormat="false" ht="14.25" hidden="false" customHeight="true" outlineLevel="0" collapsed="false">
      <c r="B230" s="12"/>
      <c r="C230" s="12"/>
      <c r="D230" s="12"/>
      <c r="E230" s="12"/>
    </row>
    <row r="231" customFormat="false" ht="14.25" hidden="false" customHeight="true" outlineLevel="0" collapsed="false">
      <c r="B231" s="12"/>
      <c r="C231" s="12"/>
      <c r="D231" s="12"/>
      <c r="E231" s="12"/>
    </row>
    <row r="232" customFormat="false" ht="14.25" hidden="false" customHeight="true" outlineLevel="0" collapsed="false">
      <c r="B232" s="12"/>
      <c r="C232" s="12"/>
      <c r="D232" s="12"/>
      <c r="E232" s="12"/>
    </row>
    <row r="233" customFormat="false" ht="14.25" hidden="false" customHeight="true" outlineLevel="0" collapsed="false">
      <c r="B233" s="12"/>
      <c r="C233" s="12"/>
      <c r="D233" s="12"/>
      <c r="E233" s="12"/>
    </row>
    <row r="234" customFormat="false" ht="14.25" hidden="false" customHeight="true" outlineLevel="0" collapsed="false">
      <c r="B234" s="12"/>
      <c r="C234" s="12"/>
      <c r="D234" s="12"/>
      <c r="E234" s="12"/>
    </row>
    <row r="235" customFormat="false" ht="14.25" hidden="false" customHeight="true" outlineLevel="0" collapsed="false">
      <c r="B235" s="12"/>
      <c r="C235" s="12"/>
      <c r="D235" s="12"/>
      <c r="E235" s="12"/>
    </row>
    <row r="236" customFormat="false" ht="14.25" hidden="false" customHeight="true" outlineLevel="0" collapsed="false">
      <c r="B236" s="12"/>
      <c r="C236" s="12"/>
      <c r="D236" s="12"/>
      <c r="E236" s="12"/>
    </row>
    <row r="237" customFormat="false" ht="14.25" hidden="false" customHeight="true" outlineLevel="0" collapsed="false">
      <c r="B237" s="12"/>
      <c r="C237" s="12"/>
      <c r="D237" s="12"/>
      <c r="E237" s="12"/>
    </row>
    <row r="238" customFormat="false" ht="14.25" hidden="false" customHeight="true" outlineLevel="0" collapsed="false">
      <c r="B238" s="12"/>
      <c r="C238" s="12"/>
      <c r="D238" s="12"/>
      <c r="E238" s="12"/>
    </row>
    <row r="239" customFormat="false" ht="14.25" hidden="false" customHeight="true" outlineLevel="0" collapsed="false">
      <c r="B239" s="12"/>
      <c r="C239" s="12"/>
      <c r="D239" s="12"/>
      <c r="E239" s="12"/>
    </row>
    <row r="240" customFormat="false" ht="14.25" hidden="false" customHeight="true" outlineLevel="0" collapsed="false">
      <c r="B240" s="12"/>
      <c r="C240" s="12"/>
      <c r="D240" s="12"/>
      <c r="E240" s="12"/>
    </row>
    <row r="241" customFormat="false" ht="14.25" hidden="false" customHeight="true" outlineLevel="0" collapsed="false">
      <c r="B241" s="12"/>
      <c r="C241" s="12"/>
      <c r="D241" s="12"/>
      <c r="E241" s="12"/>
    </row>
    <row r="242" customFormat="false" ht="14.25" hidden="false" customHeight="true" outlineLevel="0" collapsed="false">
      <c r="B242" s="12"/>
      <c r="C242" s="12"/>
      <c r="D242" s="12"/>
      <c r="E242" s="12"/>
    </row>
    <row r="243" customFormat="false" ht="14.25" hidden="false" customHeight="true" outlineLevel="0" collapsed="false">
      <c r="B243" s="12"/>
      <c r="C243" s="12"/>
      <c r="D243" s="12"/>
      <c r="E243" s="12"/>
    </row>
    <row r="244" customFormat="false" ht="14.25" hidden="false" customHeight="true" outlineLevel="0" collapsed="false">
      <c r="B244" s="12"/>
      <c r="C244" s="12"/>
      <c r="D244" s="12"/>
      <c r="E244" s="12"/>
    </row>
    <row r="245" customFormat="false" ht="14.25" hidden="false" customHeight="true" outlineLevel="0" collapsed="false">
      <c r="B245" s="12"/>
      <c r="C245" s="12"/>
      <c r="D245" s="12"/>
      <c r="E245" s="12"/>
    </row>
    <row r="246" customFormat="false" ht="14.25" hidden="false" customHeight="true" outlineLevel="0" collapsed="false">
      <c r="B246" s="12"/>
      <c r="C246" s="12"/>
      <c r="D246" s="12"/>
      <c r="E246" s="12"/>
    </row>
    <row r="247" customFormat="false" ht="14.25" hidden="false" customHeight="true" outlineLevel="0" collapsed="false">
      <c r="B247" s="12"/>
      <c r="C247" s="12"/>
      <c r="D247" s="12"/>
      <c r="E247" s="12"/>
    </row>
    <row r="248" customFormat="false" ht="14.25" hidden="false" customHeight="true" outlineLevel="0" collapsed="false">
      <c r="B248" s="12"/>
      <c r="C248" s="12"/>
      <c r="D248" s="12"/>
      <c r="E248" s="12"/>
    </row>
    <row r="249" customFormat="false" ht="14.25" hidden="false" customHeight="true" outlineLevel="0" collapsed="false">
      <c r="B249" s="12"/>
      <c r="C249" s="12"/>
      <c r="D249" s="12"/>
      <c r="E249" s="12"/>
    </row>
    <row r="250" customFormat="false" ht="14.25" hidden="false" customHeight="true" outlineLevel="0" collapsed="false">
      <c r="B250" s="12"/>
      <c r="C250" s="12"/>
      <c r="D250" s="12"/>
      <c r="E250" s="12"/>
    </row>
    <row r="251" customFormat="false" ht="14.25" hidden="false" customHeight="true" outlineLevel="0" collapsed="false">
      <c r="B251" s="12"/>
      <c r="C251" s="12"/>
      <c r="D251" s="12"/>
      <c r="E251" s="12"/>
    </row>
    <row r="252" customFormat="false" ht="14.25" hidden="false" customHeight="true" outlineLevel="0" collapsed="false">
      <c r="B252" s="12"/>
      <c r="C252" s="12"/>
      <c r="D252" s="12"/>
      <c r="E252" s="12"/>
    </row>
    <row r="253" customFormat="false" ht="14.25" hidden="false" customHeight="true" outlineLevel="0" collapsed="false">
      <c r="B253" s="12"/>
      <c r="C253" s="12"/>
      <c r="D253" s="12"/>
      <c r="E253" s="12"/>
    </row>
    <row r="254" customFormat="false" ht="14.25" hidden="false" customHeight="true" outlineLevel="0" collapsed="false">
      <c r="B254" s="12"/>
      <c r="C254" s="12"/>
      <c r="D254" s="12"/>
      <c r="E254" s="12"/>
    </row>
    <row r="255" customFormat="false" ht="14.25" hidden="false" customHeight="true" outlineLevel="0" collapsed="false">
      <c r="B255" s="12"/>
      <c r="C255" s="12"/>
      <c r="D255" s="12"/>
      <c r="E255" s="12"/>
    </row>
    <row r="256" customFormat="false" ht="14.25" hidden="false" customHeight="true" outlineLevel="0" collapsed="false">
      <c r="B256" s="12"/>
      <c r="C256" s="12"/>
      <c r="D256" s="12"/>
      <c r="E256" s="12"/>
    </row>
    <row r="257" customFormat="false" ht="14.25" hidden="false" customHeight="true" outlineLevel="0" collapsed="false">
      <c r="B257" s="12"/>
      <c r="C257" s="12"/>
      <c r="D257" s="12"/>
      <c r="E257" s="12"/>
    </row>
    <row r="258" customFormat="false" ht="14.25" hidden="false" customHeight="true" outlineLevel="0" collapsed="false">
      <c r="B258" s="12"/>
      <c r="C258" s="12"/>
      <c r="D258" s="12"/>
      <c r="E258" s="12"/>
    </row>
    <row r="259" customFormat="false" ht="14.25" hidden="false" customHeight="true" outlineLevel="0" collapsed="false">
      <c r="B259" s="12"/>
      <c r="C259" s="12"/>
      <c r="D259" s="12"/>
      <c r="E259" s="12"/>
    </row>
    <row r="260" customFormat="false" ht="14.25" hidden="false" customHeight="true" outlineLevel="0" collapsed="false">
      <c r="B260" s="12"/>
      <c r="C260" s="12"/>
      <c r="D260" s="12"/>
      <c r="E260" s="12"/>
    </row>
    <row r="261" customFormat="false" ht="14.25" hidden="false" customHeight="true" outlineLevel="0" collapsed="false">
      <c r="B261" s="12"/>
      <c r="C261" s="12"/>
      <c r="D261" s="12"/>
      <c r="E261" s="12"/>
    </row>
    <row r="262" customFormat="false" ht="14.25" hidden="false" customHeight="true" outlineLevel="0" collapsed="false">
      <c r="B262" s="12"/>
      <c r="C262" s="12"/>
      <c r="D262" s="12"/>
      <c r="E262" s="12"/>
    </row>
    <row r="263" customFormat="false" ht="14.25" hidden="false" customHeight="true" outlineLevel="0" collapsed="false">
      <c r="B263" s="12"/>
      <c r="C263" s="12"/>
      <c r="D263" s="12"/>
      <c r="E263" s="12"/>
    </row>
    <row r="264" customFormat="false" ht="14.25" hidden="false" customHeight="true" outlineLevel="0" collapsed="false">
      <c r="B264" s="12"/>
      <c r="C264" s="12"/>
      <c r="D264" s="12"/>
      <c r="E264" s="12"/>
    </row>
    <row r="265" customFormat="false" ht="14.25" hidden="false" customHeight="true" outlineLevel="0" collapsed="false">
      <c r="B265" s="12"/>
      <c r="C265" s="12"/>
      <c r="D265" s="12"/>
      <c r="E265" s="12"/>
    </row>
    <row r="266" customFormat="false" ht="14.25" hidden="false" customHeight="true" outlineLevel="0" collapsed="false">
      <c r="B266" s="12"/>
      <c r="C266" s="12"/>
      <c r="D266" s="12"/>
      <c r="E266" s="12"/>
    </row>
    <row r="267" customFormat="false" ht="14.25" hidden="false" customHeight="true" outlineLevel="0" collapsed="false">
      <c r="B267" s="12"/>
      <c r="C267" s="12"/>
      <c r="D267" s="12"/>
      <c r="E267" s="12"/>
    </row>
    <row r="268" customFormat="false" ht="14.25" hidden="false" customHeight="true" outlineLevel="0" collapsed="false">
      <c r="B268" s="12"/>
      <c r="C268" s="12"/>
      <c r="D268" s="12"/>
      <c r="E268" s="12"/>
    </row>
    <row r="269" customFormat="false" ht="14.25" hidden="false" customHeight="true" outlineLevel="0" collapsed="false">
      <c r="B269" s="12"/>
      <c r="C269" s="12"/>
      <c r="D269" s="12"/>
      <c r="E269" s="12"/>
    </row>
    <row r="270" customFormat="false" ht="14.25" hidden="false" customHeight="true" outlineLevel="0" collapsed="false">
      <c r="B270" s="12"/>
      <c r="C270" s="12"/>
      <c r="D270" s="12"/>
      <c r="E270" s="12"/>
    </row>
    <row r="271" customFormat="false" ht="14.25" hidden="false" customHeight="true" outlineLevel="0" collapsed="false">
      <c r="B271" s="12"/>
      <c r="C271" s="12"/>
      <c r="D271" s="12"/>
      <c r="E271" s="12"/>
    </row>
    <row r="272" customFormat="false" ht="14.25" hidden="false" customHeight="true" outlineLevel="0" collapsed="false">
      <c r="B272" s="12"/>
      <c r="C272" s="12"/>
      <c r="D272" s="12"/>
      <c r="E272" s="12"/>
    </row>
    <row r="273" customFormat="false" ht="14.25" hidden="false" customHeight="true" outlineLevel="0" collapsed="false">
      <c r="B273" s="12"/>
      <c r="C273" s="12"/>
      <c r="D273" s="12"/>
      <c r="E273" s="12"/>
    </row>
    <row r="274" customFormat="false" ht="14.25" hidden="false" customHeight="true" outlineLevel="0" collapsed="false">
      <c r="B274" s="12"/>
      <c r="C274" s="12"/>
      <c r="D274" s="12"/>
      <c r="E274" s="12"/>
    </row>
    <row r="275" customFormat="false" ht="14.25" hidden="false" customHeight="true" outlineLevel="0" collapsed="false">
      <c r="B275" s="12"/>
      <c r="C275" s="12"/>
      <c r="D275" s="12"/>
      <c r="E275" s="12"/>
    </row>
    <row r="276" customFormat="false" ht="14.25" hidden="false" customHeight="true" outlineLevel="0" collapsed="false">
      <c r="B276" s="12"/>
      <c r="C276" s="12"/>
      <c r="D276" s="12"/>
      <c r="E276" s="12"/>
    </row>
    <row r="277" customFormat="false" ht="14.25" hidden="false" customHeight="true" outlineLevel="0" collapsed="false">
      <c r="B277" s="12"/>
      <c r="C277" s="12"/>
      <c r="D277" s="12"/>
      <c r="E277" s="12"/>
    </row>
    <row r="278" customFormat="false" ht="14.25" hidden="false" customHeight="true" outlineLevel="0" collapsed="false">
      <c r="B278" s="12"/>
      <c r="C278" s="12"/>
      <c r="D278" s="12"/>
      <c r="E278" s="12"/>
    </row>
    <row r="279" customFormat="false" ht="14.25" hidden="false" customHeight="true" outlineLevel="0" collapsed="false">
      <c r="B279" s="12"/>
      <c r="C279" s="12"/>
      <c r="D279" s="12"/>
      <c r="E279" s="12"/>
    </row>
    <row r="280" customFormat="false" ht="14.25" hidden="false" customHeight="true" outlineLevel="0" collapsed="false">
      <c r="B280" s="12"/>
      <c r="C280" s="12"/>
      <c r="D280" s="12"/>
      <c r="E280" s="12"/>
    </row>
    <row r="281" customFormat="false" ht="14.25" hidden="false" customHeight="true" outlineLevel="0" collapsed="false">
      <c r="B281" s="12"/>
      <c r="C281" s="12"/>
      <c r="D281" s="12"/>
      <c r="E281" s="12"/>
    </row>
    <row r="282" customFormat="false" ht="14.25" hidden="false" customHeight="true" outlineLevel="0" collapsed="false">
      <c r="B282" s="12"/>
      <c r="C282" s="12"/>
      <c r="D282" s="12"/>
      <c r="E282" s="12"/>
    </row>
    <row r="283" customFormat="false" ht="14.25" hidden="false" customHeight="true" outlineLevel="0" collapsed="false">
      <c r="B283" s="12"/>
      <c r="C283" s="12"/>
      <c r="D283" s="12"/>
      <c r="E283" s="12"/>
    </row>
    <row r="284" customFormat="false" ht="14.25" hidden="false" customHeight="true" outlineLevel="0" collapsed="false">
      <c r="B284" s="12"/>
      <c r="C284" s="12"/>
      <c r="D284" s="12"/>
      <c r="E284" s="12"/>
    </row>
    <row r="285" customFormat="false" ht="14.25" hidden="false" customHeight="true" outlineLevel="0" collapsed="false">
      <c r="B285" s="12"/>
      <c r="C285" s="12"/>
      <c r="D285" s="12"/>
      <c r="E285" s="12"/>
    </row>
    <row r="286" customFormat="false" ht="14.25" hidden="false" customHeight="true" outlineLevel="0" collapsed="false">
      <c r="B286" s="12"/>
      <c r="C286" s="12"/>
      <c r="D286" s="12"/>
      <c r="E286" s="12"/>
    </row>
    <row r="287" customFormat="false" ht="14.25" hidden="false" customHeight="true" outlineLevel="0" collapsed="false">
      <c r="B287" s="12"/>
      <c r="C287" s="12"/>
      <c r="D287" s="12"/>
      <c r="E287" s="12"/>
    </row>
    <row r="288" customFormat="false" ht="14.25" hidden="false" customHeight="true" outlineLevel="0" collapsed="false">
      <c r="B288" s="12"/>
      <c r="C288" s="12"/>
      <c r="D288" s="12"/>
      <c r="E288" s="12"/>
    </row>
    <row r="289" customFormat="false" ht="14.25" hidden="false" customHeight="true" outlineLevel="0" collapsed="false">
      <c r="B289" s="12"/>
      <c r="C289" s="12"/>
      <c r="D289" s="12"/>
      <c r="E289" s="12"/>
    </row>
    <row r="290" customFormat="false" ht="14.25" hidden="false" customHeight="true" outlineLevel="0" collapsed="false">
      <c r="B290" s="12"/>
      <c r="C290" s="12"/>
      <c r="D290" s="12"/>
      <c r="E290" s="12"/>
    </row>
    <row r="291" customFormat="false" ht="14.25" hidden="false" customHeight="true" outlineLevel="0" collapsed="false">
      <c r="B291" s="12"/>
      <c r="C291" s="12"/>
      <c r="D291" s="12"/>
      <c r="E291" s="12"/>
    </row>
    <row r="292" customFormat="false" ht="14.25" hidden="false" customHeight="true" outlineLevel="0" collapsed="false">
      <c r="B292" s="12"/>
      <c r="C292" s="12"/>
      <c r="D292" s="12"/>
      <c r="E292" s="12"/>
    </row>
    <row r="293" customFormat="false" ht="14.25" hidden="false" customHeight="true" outlineLevel="0" collapsed="false">
      <c r="B293" s="12"/>
      <c r="C293" s="12"/>
      <c r="D293" s="12"/>
      <c r="E293" s="12"/>
    </row>
    <row r="294" customFormat="false" ht="14.25" hidden="false" customHeight="true" outlineLevel="0" collapsed="false">
      <c r="B294" s="12"/>
      <c r="C294" s="12"/>
      <c r="D294" s="12"/>
      <c r="E294" s="12"/>
    </row>
    <row r="295" customFormat="false" ht="14.25" hidden="false" customHeight="true" outlineLevel="0" collapsed="false">
      <c r="B295" s="12"/>
      <c r="C295" s="12"/>
      <c r="D295" s="12"/>
      <c r="E295" s="12"/>
    </row>
    <row r="296" customFormat="false" ht="14.25" hidden="false" customHeight="true" outlineLevel="0" collapsed="false">
      <c r="B296" s="12"/>
      <c r="C296" s="12"/>
      <c r="D296" s="12"/>
      <c r="E296" s="12"/>
    </row>
    <row r="297" customFormat="false" ht="14.25" hidden="false" customHeight="true" outlineLevel="0" collapsed="false">
      <c r="B297" s="12"/>
      <c r="C297" s="12"/>
      <c r="D297" s="12"/>
      <c r="E297" s="12"/>
    </row>
    <row r="298" customFormat="false" ht="14.25" hidden="false" customHeight="true" outlineLevel="0" collapsed="false">
      <c r="B298" s="12"/>
      <c r="C298" s="12"/>
      <c r="D298" s="12"/>
      <c r="E298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44.55"/>
    <col collapsed="false" customWidth="true" hidden="false" outlineLevel="0" max="2" min="2" style="1" width="22.48"/>
    <col collapsed="false" customWidth="true" hidden="false" outlineLevel="0" max="3" min="3" style="1" width="9.69"/>
    <col collapsed="false" customWidth="true" hidden="false" outlineLevel="0" max="4" min="4" style="1" width="75.5"/>
  </cols>
  <sheetData>
    <row r="1" customFormat="false" ht="27.75" hidden="false" customHeight="true" outlineLevel="0" collapsed="false">
      <c r="A1" s="2" t="s">
        <v>243</v>
      </c>
      <c r="B1" s="2"/>
      <c r="C1" s="2"/>
      <c r="D1" s="2"/>
    </row>
    <row r="2" customFormat="false" ht="42" hidden="false" customHeight="true" outlineLevel="0" collapsed="false">
      <c r="A2" s="3" t="s">
        <v>244</v>
      </c>
      <c r="B2" s="3"/>
      <c r="C2" s="3"/>
      <c r="D2" s="3"/>
    </row>
    <row r="3" customFormat="false" ht="15" hidden="false" customHeight="true" outlineLevel="0" collapsed="false">
      <c r="A3" s="4" t="s">
        <v>245</v>
      </c>
      <c r="B3" s="4" t="s">
        <v>246</v>
      </c>
      <c r="C3" s="4" t="s">
        <v>247</v>
      </c>
      <c r="D3" s="4" t="s">
        <v>13</v>
      </c>
    </row>
    <row r="4" customFormat="false" ht="33.75" hidden="false" customHeight="true" outlineLevel="0" collapsed="false">
      <c r="A4" s="5" t="s">
        <v>248</v>
      </c>
      <c r="B4" s="5" t="n">
        <v>60</v>
      </c>
      <c r="C4" s="5" t="s">
        <v>249</v>
      </c>
      <c r="D4" s="5" t="s">
        <v>250</v>
      </c>
    </row>
    <row r="5" customFormat="false" ht="33.75" hidden="false" customHeight="true" outlineLevel="0" collapsed="false">
      <c r="A5" s="5" t="s">
        <v>251</v>
      </c>
      <c r="B5" s="5" t="n">
        <v>1</v>
      </c>
      <c r="C5" s="5" t="s">
        <v>252</v>
      </c>
      <c r="D5" s="5" t="s">
        <v>253</v>
      </c>
    </row>
    <row r="6" customFormat="false" ht="33.75" hidden="false" customHeight="true" outlineLevel="0" collapsed="false">
      <c r="A6" s="5" t="s">
        <v>254</v>
      </c>
      <c r="B6" s="5" t="n">
        <v>1</v>
      </c>
      <c r="C6" s="5" t="s">
        <v>252</v>
      </c>
      <c r="D6" s="5" t="s">
        <v>255</v>
      </c>
    </row>
    <row r="7" customFormat="false" ht="33.75" hidden="false" customHeight="true" outlineLevel="0" collapsed="false">
      <c r="A7" s="5" t="s">
        <v>256</v>
      </c>
      <c r="B7" s="5" t="n">
        <v>1</v>
      </c>
      <c r="C7" s="5" t="s">
        <v>252</v>
      </c>
      <c r="D7" s="5" t="s">
        <v>257</v>
      </c>
    </row>
    <row r="8" customFormat="false" ht="33.75" hidden="false" customHeight="true" outlineLevel="0" collapsed="false">
      <c r="A8" s="22" t="s">
        <v>258</v>
      </c>
      <c r="B8" s="5" t="n">
        <v>1</v>
      </c>
      <c r="C8" s="5" t="s">
        <v>252</v>
      </c>
      <c r="D8" s="5" t="s">
        <v>259</v>
      </c>
    </row>
    <row r="9" customFormat="false" ht="33.75" hidden="false" customHeight="true" outlineLevel="0" collapsed="false">
      <c r="A9" s="5" t="s">
        <v>260</v>
      </c>
      <c r="B9" s="5" t="n">
        <v>1</v>
      </c>
      <c r="C9" s="5" t="s">
        <v>252</v>
      </c>
      <c r="D9" s="5" t="s">
        <v>261</v>
      </c>
    </row>
    <row r="10" customFormat="false" ht="33.75" hidden="false" customHeight="true" outlineLevel="0" collapsed="false">
      <c r="A10" s="5" t="s">
        <v>262</v>
      </c>
      <c r="B10" s="5" t="n">
        <v>1</v>
      </c>
      <c r="C10" s="5" t="s">
        <v>252</v>
      </c>
      <c r="D10" s="5" t="s">
        <v>263</v>
      </c>
    </row>
    <row r="11" customFormat="false" ht="33.75" hidden="false" customHeight="true" outlineLevel="0" collapsed="false">
      <c r="A11" s="5" t="s">
        <v>264</v>
      </c>
      <c r="B11" s="5" t="n">
        <v>1</v>
      </c>
      <c r="C11" s="5" t="s">
        <v>252</v>
      </c>
      <c r="D11" s="5" t="s">
        <v>265</v>
      </c>
    </row>
    <row r="12" customFormat="false" ht="14.25" hidden="false" customHeight="true" outlineLevel="0" collapsed="false">
      <c r="A12" s="5" t="s">
        <v>266</v>
      </c>
      <c r="B12" s="5" t="n">
        <v>1</v>
      </c>
      <c r="C12" s="5" t="s">
        <v>252</v>
      </c>
      <c r="D12" s="5" t="s">
        <v>267</v>
      </c>
    </row>
    <row r="13" customFormat="false" ht="14.25" hidden="false" customHeight="true" outlineLevel="0" collapsed="false">
      <c r="A13" s="5" t="s">
        <v>268</v>
      </c>
      <c r="B13" s="5" t="n">
        <v>1</v>
      </c>
      <c r="C13" s="5" t="s">
        <v>269</v>
      </c>
      <c r="D13" s="5" t="s">
        <v>270</v>
      </c>
    </row>
    <row r="14" customFormat="false" ht="27.75" hidden="false" customHeight="true" outlineLevel="0" collapsed="false">
      <c r="A14" s="5" t="s">
        <v>271</v>
      </c>
      <c r="B14" s="5" t="s">
        <v>170</v>
      </c>
      <c r="C14" s="5" t="s">
        <v>57</v>
      </c>
      <c r="D14" s="5" t="s">
        <v>272</v>
      </c>
    </row>
    <row r="15" customFormat="false" ht="27.75" hidden="false" customHeight="true" outlineLevel="0" collapsed="false">
      <c r="A15" s="5" t="s">
        <v>273</v>
      </c>
      <c r="B15" s="5" t="n">
        <v>1</v>
      </c>
      <c r="C15" s="5" t="s">
        <v>274</v>
      </c>
      <c r="D15" s="5" t="s">
        <v>275</v>
      </c>
    </row>
    <row r="16" customFormat="false" ht="14.25" hidden="false" customHeight="true" outlineLevel="0" collapsed="false">
      <c r="A16" s="5" t="s">
        <v>276</v>
      </c>
      <c r="B16" s="5" t="s">
        <v>75</v>
      </c>
      <c r="C16" s="5" t="s">
        <v>57</v>
      </c>
      <c r="D16" s="5" t="s">
        <v>277</v>
      </c>
    </row>
    <row r="17" customFormat="false" ht="27.75" hidden="false" customHeight="true" outlineLevel="0" collapsed="false">
      <c r="A17" s="5" t="s">
        <v>278</v>
      </c>
      <c r="B17" s="5" t="n">
        <v>1</v>
      </c>
      <c r="C17" s="5" t="s">
        <v>274</v>
      </c>
      <c r="D17" s="5" t="s">
        <v>275</v>
      </c>
    </row>
    <row r="18" customFormat="false" ht="14.25" hidden="false" customHeight="true" outlineLevel="0" collapsed="false">
      <c r="A18" s="5" t="s">
        <v>279</v>
      </c>
      <c r="B18" s="5" t="s">
        <v>79</v>
      </c>
      <c r="C18" s="5" t="s">
        <v>57</v>
      </c>
      <c r="D18" s="5" t="s">
        <v>280</v>
      </c>
    </row>
    <row r="19" customFormat="false" ht="14.25" hidden="false" customHeight="true" outlineLevel="0" collapsed="false">
      <c r="A19" s="5" t="s">
        <v>281</v>
      </c>
      <c r="B19" s="5" t="n">
        <v>60</v>
      </c>
      <c r="C19" s="5" t="s">
        <v>282</v>
      </c>
      <c r="D19" s="5" t="s">
        <v>283</v>
      </c>
    </row>
  </sheetData>
  <mergeCells count="2">
    <mergeCell ref="A1:D1"/>
    <mergeCell ref="A2:D2"/>
  </mergeCells>
  <dataValidations count="1">
    <dataValidation allowBlank="false" errorStyle="stop" operator="between" showDropDown="false" showErrorMessage="false" showInputMessage="false" sqref="B6:B9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51.28"/>
    <col collapsed="false" customWidth="true" hidden="false" outlineLevel="0" max="2" min="2" style="1" width="142.13"/>
  </cols>
  <sheetData>
    <row r="1" customFormat="false" ht="27.75" hidden="false" customHeight="true" outlineLevel="0" collapsed="false">
      <c r="A1" s="7" t="s">
        <v>284</v>
      </c>
      <c r="B1" s="7"/>
      <c r="C1" s="5"/>
      <c r="D1" s="5"/>
      <c r="E1" s="5"/>
      <c r="F1" s="5"/>
      <c r="G1" s="5"/>
      <c r="H1" s="5"/>
      <c r="I1" s="5"/>
    </row>
    <row r="2" customFormat="false" ht="42" hidden="false" customHeight="true" outlineLevel="0" collapsed="false">
      <c r="A2" s="3" t="s">
        <v>285</v>
      </c>
      <c r="B2" s="3"/>
      <c r="C2" s="5"/>
      <c r="D2" s="5"/>
      <c r="E2" s="5"/>
      <c r="F2" s="5"/>
      <c r="G2" s="5"/>
      <c r="H2" s="5"/>
      <c r="I2" s="5"/>
    </row>
    <row r="3" customFormat="false" ht="15" hidden="false" customHeight="true" outlineLevel="0" collapsed="false">
      <c r="A3" s="4" t="s">
        <v>286</v>
      </c>
      <c r="B3" s="4" t="s">
        <v>287</v>
      </c>
      <c r="C3" s="5"/>
      <c r="D3" s="5"/>
      <c r="E3" s="5"/>
      <c r="F3" s="5"/>
      <c r="G3" s="5"/>
      <c r="H3" s="5"/>
      <c r="I3" s="5"/>
    </row>
    <row r="4" customFormat="false" ht="33.75" hidden="false" customHeight="true" outlineLevel="0" collapsed="false">
      <c r="A4" s="5" t="s">
        <v>288</v>
      </c>
      <c r="B4" s="5" t="s">
        <v>289</v>
      </c>
      <c r="C4" s="5"/>
      <c r="D4" s="5"/>
      <c r="E4" s="5"/>
      <c r="F4" s="5"/>
      <c r="G4" s="5"/>
      <c r="H4" s="5"/>
      <c r="I4" s="5"/>
    </row>
    <row r="5" customFormat="false" ht="33.75" hidden="false" customHeight="true" outlineLevel="0" collapsed="false">
      <c r="A5" s="5" t="s">
        <v>290</v>
      </c>
      <c r="B5" s="5" t="s">
        <v>291</v>
      </c>
      <c r="C5" s="5"/>
      <c r="D5" s="5"/>
      <c r="E5" s="5"/>
      <c r="F5" s="5"/>
      <c r="G5" s="5"/>
      <c r="H5" s="5"/>
      <c r="I5" s="5"/>
    </row>
    <row r="6" customFormat="false" ht="33.75" hidden="false" customHeight="true" outlineLevel="0" collapsed="false">
      <c r="A6" s="5" t="s">
        <v>292</v>
      </c>
      <c r="B6" s="5" t="s">
        <v>293</v>
      </c>
      <c r="C6" s="5"/>
      <c r="D6" s="5"/>
      <c r="E6" s="5"/>
      <c r="F6" s="5"/>
      <c r="G6" s="5"/>
      <c r="H6" s="5"/>
      <c r="I6" s="5"/>
    </row>
    <row r="7" customFormat="false" ht="33.75" hidden="false" customHeight="true" outlineLevel="0" collapsed="false">
      <c r="A7" s="5" t="s">
        <v>294</v>
      </c>
      <c r="B7" s="5" t="s">
        <v>295</v>
      </c>
      <c r="C7" s="5"/>
      <c r="D7" s="5"/>
      <c r="E7" s="5"/>
      <c r="F7" s="5"/>
      <c r="G7" s="5"/>
      <c r="H7" s="5"/>
      <c r="I7" s="5"/>
    </row>
    <row r="8" customFormat="false" ht="33.75" hidden="false" customHeight="true" outlineLevel="0" collapsed="false">
      <c r="A8" s="5" t="s">
        <v>296</v>
      </c>
      <c r="B8" s="5" t="s">
        <v>297</v>
      </c>
      <c r="C8" s="5"/>
      <c r="D8" s="5"/>
      <c r="E8" s="5"/>
      <c r="F8" s="5"/>
      <c r="G8" s="5"/>
      <c r="H8" s="5"/>
      <c r="I8" s="5"/>
    </row>
    <row r="9" customFormat="false" ht="33.75" hidden="false" customHeight="true" outlineLevel="0" collapsed="false">
      <c r="A9" s="5" t="s">
        <v>298</v>
      </c>
      <c r="B9" s="5" t="s">
        <v>299</v>
      </c>
      <c r="C9" s="5"/>
      <c r="D9" s="5"/>
      <c r="E9" s="5"/>
      <c r="F9" s="5"/>
      <c r="G9" s="5"/>
      <c r="H9" s="5"/>
      <c r="I9" s="5"/>
    </row>
    <row r="10" customFormat="false" ht="33.75" hidden="false" customHeight="true" outlineLevel="0" collapsed="false">
      <c r="A10" s="5" t="s">
        <v>300</v>
      </c>
      <c r="B10" s="5" t="s">
        <v>301</v>
      </c>
      <c r="C10" s="5"/>
      <c r="D10" s="5"/>
      <c r="E10" s="5"/>
      <c r="F10" s="5"/>
      <c r="G10" s="5"/>
      <c r="H10" s="5"/>
      <c r="I10" s="5"/>
    </row>
    <row r="11" customFormat="false" ht="14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4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4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14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4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14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4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4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4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14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</row>
  </sheetData>
  <mergeCells count="2">
    <mergeCell ref="A1:B1"/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83.18"/>
    <col collapsed="false" customWidth="true" hidden="false" outlineLevel="0" max="2" min="2" style="1" width="8.08"/>
    <col collapsed="false" customWidth="true" hidden="false" outlineLevel="0" max="3" min="3" style="1" width="36.2"/>
    <col collapsed="false" customWidth="true" hidden="false" outlineLevel="0" max="4" min="4" style="1" width="51.68"/>
    <col collapsed="false" customWidth="true" hidden="false" outlineLevel="0" max="5" min="5" style="1" width="62.06"/>
    <col collapsed="false" customWidth="true" hidden="false" outlineLevel="0" max="6" min="6" style="1" width="40.78"/>
  </cols>
  <sheetData>
    <row r="1" customFormat="false" ht="27.75" hidden="false" customHeight="true" outlineLevel="0" collapsed="false">
      <c r="A1" s="7" t="s">
        <v>302</v>
      </c>
      <c r="B1" s="7"/>
      <c r="C1" s="7"/>
      <c r="D1" s="7"/>
      <c r="E1" s="7"/>
      <c r="F1" s="7"/>
    </row>
    <row r="2" customFormat="false" ht="42" hidden="false" customHeight="true" outlineLevel="0" collapsed="false">
      <c r="A2" s="3" t="s">
        <v>303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304</v>
      </c>
      <c r="B3" s="4" t="s">
        <v>305</v>
      </c>
      <c r="C3" s="4" t="s">
        <v>306</v>
      </c>
      <c r="D3" s="4" t="s">
        <v>307</v>
      </c>
      <c r="E3" s="4" t="s">
        <v>308</v>
      </c>
      <c r="F3" s="4" t="s">
        <v>229</v>
      </c>
    </row>
    <row r="4" customFormat="false" ht="30" hidden="false" customHeight="true" outlineLevel="0" collapsed="false">
      <c r="A4" s="23" t="s">
        <v>309</v>
      </c>
      <c r="B4" s="5" t="s">
        <v>310</v>
      </c>
      <c r="C4" s="5" t="s">
        <v>311</v>
      </c>
      <c r="D4" s="5" t="s">
        <v>298</v>
      </c>
      <c r="E4" s="5" t="s">
        <v>298</v>
      </c>
      <c r="F4" s="5" t="s">
        <v>312</v>
      </c>
    </row>
    <row r="5" customFormat="false" ht="30" hidden="false" customHeight="true" outlineLevel="0" collapsed="false">
      <c r="A5" s="23" t="s">
        <v>309</v>
      </c>
      <c r="B5" s="5" t="s">
        <v>310</v>
      </c>
      <c r="C5" s="5" t="s">
        <v>313</v>
      </c>
      <c r="D5" s="5" t="s">
        <v>298</v>
      </c>
      <c r="E5" s="5" t="s">
        <v>298</v>
      </c>
      <c r="F5" s="5" t="s">
        <v>312</v>
      </c>
    </row>
    <row r="6" customFormat="false" ht="30" hidden="false" customHeight="true" outlineLevel="0" collapsed="false">
      <c r="A6" s="23" t="s">
        <v>309</v>
      </c>
      <c r="B6" s="5" t="s">
        <v>310</v>
      </c>
      <c r="C6" s="5" t="s">
        <v>28</v>
      </c>
      <c r="D6" s="5" t="s">
        <v>298</v>
      </c>
      <c r="E6" s="5" t="s">
        <v>298</v>
      </c>
      <c r="F6" s="5" t="s">
        <v>312</v>
      </c>
    </row>
    <row r="7" customFormat="false" ht="30" hidden="false" customHeight="true" outlineLevel="0" collapsed="false">
      <c r="A7" s="23" t="s">
        <v>309</v>
      </c>
      <c r="B7" s="5" t="s">
        <v>310</v>
      </c>
      <c r="C7" s="5" t="s">
        <v>314</v>
      </c>
      <c r="D7" s="5" t="s">
        <v>298</v>
      </c>
      <c r="E7" s="5" t="s">
        <v>298</v>
      </c>
      <c r="F7" s="5" t="s">
        <v>312</v>
      </c>
    </row>
    <row r="8" customFormat="false" ht="30" hidden="false" customHeight="true" outlineLevel="0" collapsed="false">
      <c r="A8" s="23" t="s">
        <v>309</v>
      </c>
      <c r="B8" s="5" t="s">
        <v>310</v>
      </c>
      <c r="C8" s="5" t="s">
        <v>315</v>
      </c>
      <c r="D8" s="5" t="s">
        <v>298</v>
      </c>
      <c r="E8" s="5" t="s">
        <v>298</v>
      </c>
      <c r="F8" s="5" t="s">
        <v>312</v>
      </c>
    </row>
    <row r="9" customFormat="false" ht="27.75" hidden="false" customHeight="true" outlineLevel="0" collapsed="false">
      <c r="A9" s="23" t="s">
        <v>316</v>
      </c>
      <c r="B9" s="5" t="s">
        <v>317</v>
      </c>
      <c r="C9" s="5" t="s">
        <v>311</v>
      </c>
      <c r="D9" s="5" t="s">
        <v>318</v>
      </c>
      <c r="E9" s="5" t="s">
        <v>319</v>
      </c>
      <c r="F9" s="5" t="s">
        <v>320</v>
      </c>
    </row>
    <row r="10" customFormat="false" ht="14.25" hidden="false" customHeight="true" outlineLevel="0" collapsed="false">
      <c r="A10" s="23" t="s">
        <v>316</v>
      </c>
      <c r="B10" s="5" t="s">
        <v>317</v>
      </c>
      <c r="C10" s="5" t="s">
        <v>321</v>
      </c>
      <c r="D10" s="5" t="s">
        <v>322</v>
      </c>
      <c r="E10" s="5" t="s">
        <v>323</v>
      </c>
      <c r="F10" s="5" t="s">
        <v>324</v>
      </c>
    </row>
    <row r="11" customFormat="false" ht="27.75" hidden="false" customHeight="true" outlineLevel="0" collapsed="false">
      <c r="A11" s="23" t="s">
        <v>316</v>
      </c>
      <c r="B11" s="5" t="s">
        <v>317</v>
      </c>
      <c r="C11" s="5" t="s">
        <v>325</v>
      </c>
      <c r="D11" s="5" t="s">
        <v>326</v>
      </c>
      <c r="E11" s="5" t="s">
        <v>327</v>
      </c>
      <c r="F11" s="5" t="s">
        <v>324</v>
      </c>
    </row>
    <row r="12" customFormat="false" ht="14.25" hidden="false" customHeight="true" outlineLevel="0" collapsed="false">
      <c r="A12" s="23" t="s">
        <v>316</v>
      </c>
      <c r="B12" s="5" t="s">
        <v>317</v>
      </c>
      <c r="C12" s="5" t="s">
        <v>328</v>
      </c>
      <c r="D12" s="5" t="s">
        <v>329</v>
      </c>
      <c r="E12" s="5" t="s">
        <v>330</v>
      </c>
      <c r="F12" s="5" t="s">
        <v>331</v>
      </c>
    </row>
    <row r="13" customFormat="false" ht="14.25" hidden="false" customHeight="true" outlineLevel="0" collapsed="false">
      <c r="A13" s="24" t="s">
        <v>332</v>
      </c>
      <c r="B13" s="1" t="s">
        <v>333</v>
      </c>
      <c r="C13" s="1" t="s">
        <v>334</v>
      </c>
      <c r="D13" s="1" t="s">
        <v>335</v>
      </c>
      <c r="E13" s="1" t="s">
        <v>336</v>
      </c>
      <c r="F13" s="1" t="s">
        <v>337</v>
      </c>
    </row>
    <row r="14" customFormat="false" ht="14.25" hidden="false" customHeight="true" outlineLevel="0" collapsed="false">
      <c r="A14" s="24" t="s">
        <v>316</v>
      </c>
      <c r="B14" s="1" t="s">
        <v>338</v>
      </c>
      <c r="C14" s="1" t="s">
        <v>339</v>
      </c>
      <c r="D14" s="1" t="s">
        <v>340</v>
      </c>
      <c r="E14" s="1" t="s">
        <v>341</v>
      </c>
      <c r="F14" s="1" t="s">
        <v>342</v>
      </c>
    </row>
    <row r="15" customFormat="false" ht="68.25" hidden="false" customHeight="true" outlineLevel="0" collapsed="false">
      <c r="A15" s="23" t="s">
        <v>343</v>
      </c>
      <c r="B15" s="5" t="s">
        <v>344</v>
      </c>
      <c r="C15" s="5" t="s">
        <v>328</v>
      </c>
      <c r="D15" s="5" t="s">
        <v>345</v>
      </c>
      <c r="E15" s="5" t="s">
        <v>346</v>
      </c>
      <c r="F15" s="5" t="s">
        <v>347</v>
      </c>
    </row>
    <row r="16" customFormat="false" ht="14.25" hidden="false" customHeight="true" outlineLevel="0" collapsed="false">
      <c r="A16" s="24" t="s">
        <v>348</v>
      </c>
      <c r="B16" s="1" t="s">
        <v>349</v>
      </c>
      <c r="C16" s="1" t="s">
        <v>335</v>
      </c>
      <c r="D16" s="1" t="s">
        <v>350</v>
      </c>
      <c r="E16" s="1" t="s">
        <v>351</v>
      </c>
      <c r="F16" s="1" t="s">
        <v>352</v>
      </c>
    </row>
    <row r="17" customFormat="false" ht="14.25" hidden="false" customHeight="true" outlineLevel="0" collapsed="false">
      <c r="A17" s="24" t="s">
        <v>348</v>
      </c>
      <c r="B17" s="1" t="s">
        <v>349</v>
      </c>
      <c r="C17" s="1" t="s">
        <v>311</v>
      </c>
      <c r="D17" s="1" t="s">
        <v>353</v>
      </c>
      <c r="E17" s="1" t="s">
        <v>354</v>
      </c>
      <c r="F17" s="1" t="s">
        <v>355</v>
      </c>
    </row>
    <row r="18" customFormat="false" ht="14.25" hidden="false" customHeight="true" outlineLevel="0" collapsed="false">
      <c r="A18" s="24" t="s">
        <v>348</v>
      </c>
      <c r="B18" s="1" t="s">
        <v>349</v>
      </c>
      <c r="C18" s="1" t="s">
        <v>313</v>
      </c>
      <c r="D18" s="1" t="s">
        <v>356</v>
      </c>
      <c r="E18" s="1" t="s">
        <v>357</v>
      </c>
      <c r="F18" s="1" t="s">
        <v>355</v>
      </c>
    </row>
    <row r="19" customFormat="false" ht="14.25" hidden="false" customHeight="true" outlineLevel="0" collapsed="false">
      <c r="A19" s="24" t="s">
        <v>348</v>
      </c>
      <c r="B19" s="1" t="s">
        <v>349</v>
      </c>
      <c r="C19" s="1" t="s">
        <v>315</v>
      </c>
      <c r="D19" s="1" t="s">
        <v>358</v>
      </c>
      <c r="E19" s="1" t="s">
        <v>359</v>
      </c>
      <c r="F19" s="1" t="s">
        <v>355</v>
      </c>
    </row>
    <row r="20" customFormat="false" ht="14.25" hidden="false" customHeight="true" outlineLevel="0" collapsed="false">
      <c r="A20" s="24" t="s">
        <v>348</v>
      </c>
      <c r="B20" s="6" t="s">
        <v>360</v>
      </c>
      <c r="C20" s="6" t="s">
        <v>361</v>
      </c>
      <c r="D20" s="6" t="s">
        <v>362</v>
      </c>
      <c r="E20" s="6" t="s">
        <v>363</v>
      </c>
      <c r="F20" s="6"/>
    </row>
    <row r="21" customFormat="false" ht="14.25" hidden="false" customHeight="true" outlineLevel="0" collapsed="false">
      <c r="A21" s="24" t="s">
        <v>348</v>
      </c>
      <c r="B21" s="6" t="s">
        <v>364</v>
      </c>
      <c r="C21" s="6" t="s">
        <v>51</v>
      </c>
      <c r="D21" s="6" t="s">
        <v>365</v>
      </c>
      <c r="E21" s="6" t="s">
        <v>366</v>
      </c>
      <c r="F21" s="6" t="s">
        <v>367</v>
      </c>
    </row>
    <row r="22" customFormat="false" ht="14.25" hidden="false" customHeight="true" outlineLevel="0" collapsed="false">
      <c r="A22" s="24"/>
    </row>
    <row r="23" customFormat="false" ht="14.25" hidden="false" customHeight="true" outlineLevel="0" collapsed="false">
      <c r="A23" s="24"/>
    </row>
    <row r="24" customFormat="false" ht="14.25" hidden="false" customHeight="true" outlineLevel="0" collapsed="false">
      <c r="A24" s="24"/>
    </row>
    <row r="25" customFormat="false" ht="14.25" hidden="false" customHeight="true" outlineLevel="0" collapsed="false">
      <c r="A25" s="24"/>
    </row>
    <row r="26" customFormat="false" ht="14.25" hidden="false" customHeight="true" outlineLevel="0" collapsed="false">
      <c r="A26" s="24"/>
    </row>
    <row r="27" customFormat="false" ht="14.25" hidden="false" customHeight="true" outlineLevel="0" collapsed="false">
      <c r="A27" s="24"/>
    </row>
    <row r="28" customFormat="false" ht="14.25" hidden="false" customHeight="true" outlineLevel="0" collapsed="false">
      <c r="A28" s="24"/>
    </row>
    <row r="29" customFormat="false" ht="14.25" hidden="false" customHeight="true" outlineLevel="0" collapsed="false">
      <c r="A29" s="24"/>
    </row>
    <row r="30" customFormat="false" ht="14.25" hidden="false" customHeight="true" outlineLevel="0" collapsed="false">
      <c r="A30" s="24"/>
    </row>
    <row r="31" customFormat="false" ht="14.25" hidden="false" customHeight="true" outlineLevel="0" collapsed="false">
      <c r="A31" s="24"/>
    </row>
    <row r="32" customFormat="false" ht="14.25" hidden="false" customHeight="true" outlineLevel="0" collapsed="false">
      <c r="A32" s="24"/>
    </row>
    <row r="33" customFormat="false" ht="14.25" hidden="false" customHeight="true" outlineLevel="0" collapsed="false">
      <c r="A33" s="24"/>
    </row>
    <row r="34" customFormat="false" ht="14.25" hidden="false" customHeight="true" outlineLevel="0" collapsed="false">
      <c r="A34" s="24"/>
    </row>
    <row r="35" customFormat="false" ht="14.25" hidden="false" customHeight="true" outlineLevel="0" collapsed="false">
      <c r="A35" s="24"/>
    </row>
    <row r="36" customFormat="false" ht="14.25" hidden="false" customHeight="true" outlineLevel="0" collapsed="false">
      <c r="A36" s="24"/>
    </row>
    <row r="37" customFormat="false" ht="14.25" hidden="false" customHeight="true" outlineLevel="0" collapsed="false">
      <c r="A37" s="24"/>
    </row>
    <row r="38" customFormat="false" ht="14.25" hidden="false" customHeight="true" outlineLevel="0" collapsed="false">
      <c r="A38" s="24"/>
    </row>
    <row r="39" customFormat="false" ht="14.25" hidden="false" customHeight="true" outlineLevel="0" collapsed="false">
      <c r="A39" s="24"/>
    </row>
    <row r="40" customFormat="false" ht="14.25" hidden="false" customHeight="true" outlineLevel="0" collapsed="false">
      <c r="A40" s="24"/>
    </row>
    <row r="41" customFormat="false" ht="14.25" hidden="false" customHeight="true" outlineLevel="0" collapsed="false">
      <c r="A41" s="24"/>
    </row>
    <row r="42" customFormat="false" ht="14.25" hidden="false" customHeight="true" outlineLevel="0" collapsed="false">
      <c r="A42" s="24"/>
    </row>
    <row r="43" customFormat="false" ht="14.25" hidden="false" customHeight="true" outlineLevel="0" collapsed="false">
      <c r="A43" s="24"/>
    </row>
    <row r="44" customFormat="false" ht="14.25" hidden="false" customHeight="true" outlineLevel="0" collapsed="false">
      <c r="A44" s="24"/>
    </row>
    <row r="45" customFormat="false" ht="14.25" hidden="false" customHeight="true" outlineLevel="0" collapsed="false">
      <c r="A45" s="24"/>
    </row>
    <row r="46" customFormat="false" ht="14.25" hidden="false" customHeight="true" outlineLevel="0" collapsed="false">
      <c r="A46" s="24"/>
    </row>
    <row r="47" customFormat="false" ht="14.25" hidden="false" customHeight="true" outlineLevel="0" collapsed="false">
      <c r="A47" s="24"/>
    </row>
    <row r="48" customFormat="false" ht="14.25" hidden="false" customHeight="true" outlineLevel="0" collapsed="false">
      <c r="A48" s="24"/>
    </row>
    <row r="49" customFormat="false" ht="14.25" hidden="false" customHeight="true" outlineLevel="0" collapsed="false">
      <c r="A49" s="24"/>
    </row>
    <row r="50" customFormat="false" ht="14.25" hidden="false" customHeight="true" outlineLevel="0" collapsed="false">
      <c r="A50" s="24"/>
    </row>
    <row r="51" customFormat="false" ht="14.25" hidden="false" customHeight="true" outlineLevel="0" collapsed="false">
      <c r="A51" s="24"/>
    </row>
    <row r="52" customFormat="false" ht="14.25" hidden="false" customHeight="true" outlineLevel="0" collapsed="false">
      <c r="A52" s="24"/>
    </row>
    <row r="53" customFormat="false" ht="14.25" hidden="false" customHeight="true" outlineLevel="0" collapsed="false">
      <c r="A53" s="24"/>
    </row>
    <row r="54" customFormat="false" ht="14.25" hidden="false" customHeight="true" outlineLevel="0" collapsed="false">
      <c r="A54" s="24"/>
    </row>
    <row r="55" customFormat="false" ht="14.25" hidden="false" customHeight="true" outlineLevel="0" collapsed="false">
      <c r="A55" s="24"/>
    </row>
    <row r="56" customFormat="false" ht="14.25" hidden="false" customHeight="true" outlineLevel="0" collapsed="false">
      <c r="A56" s="24"/>
    </row>
    <row r="57" customFormat="false" ht="14.25" hidden="false" customHeight="true" outlineLevel="0" collapsed="false">
      <c r="A57" s="24"/>
    </row>
    <row r="58" customFormat="false" ht="14.25" hidden="false" customHeight="true" outlineLevel="0" collapsed="false">
      <c r="A58" s="24"/>
    </row>
    <row r="59" customFormat="false" ht="14.25" hidden="false" customHeight="true" outlineLevel="0" collapsed="false">
      <c r="A59" s="24"/>
    </row>
    <row r="60" customFormat="false" ht="14.25" hidden="false" customHeight="true" outlineLevel="0" collapsed="false">
      <c r="A60" s="24"/>
    </row>
    <row r="61" customFormat="false" ht="14.25" hidden="false" customHeight="true" outlineLevel="0" collapsed="false">
      <c r="A61" s="24"/>
    </row>
    <row r="62" customFormat="false" ht="14.25" hidden="false" customHeight="true" outlineLevel="0" collapsed="false">
      <c r="A62" s="24"/>
    </row>
    <row r="63" customFormat="false" ht="14.25" hidden="false" customHeight="true" outlineLevel="0" collapsed="false">
      <c r="A63" s="24"/>
    </row>
    <row r="64" customFormat="false" ht="14.25" hidden="false" customHeight="true" outlineLevel="0" collapsed="false">
      <c r="A64" s="24"/>
    </row>
    <row r="65" customFormat="false" ht="14.25" hidden="false" customHeight="true" outlineLevel="0" collapsed="false">
      <c r="A65" s="24"/>
    </row>
    <row r="66" customFormat="false" ht="14.25" hidden="false" customHeight="true" outlineLevel="0" collapsed="false">
      <c r="A66" s="24"/>
    </row>
    <row r="67" customFormat="false" ht="14.25" hidden="false" customHeight="true" outlineLevel="0" collapsed="false">
      <c r="A67" s="24"/>
    </row>
    <row r="68" customFormat="false" ht="14.25" hidden="false" customHeight="true" outlineLevel="0" collapsed="false">
      <c r="A68" s="24"/>
    </row>
    <row r="69" customFormat="false" ht="14.25" hidden="false" customHeight="true" outlineLevel="0" collapsed="false">
      <c r="A69" s="24"/>
    </row>
    <row r="70" customFormat="false" ht="14.25" hidden="false" customHeight="true" outlineLevel="0" collapsed="false">
      <c r="A70" s="24"/>
    </row>
    <row r="71" customFormat="false" ht="14.25" hidden="false" customHeight="true" outlineLevel="0" collapsed="false">
      <c r="A71" s="24"/>
    </row>
    <row r="72" customFormat="false" ht="14.25" hidden="false" customHeight="true" outlineLevel="0" collapsed="false">
      <c r="A72" s="24"/>
    </row>
    <row r="73" customFormat="false" ht="14.25" hidden="false" customHeight="true" outlineLevel="0" collapsed="false">
      <c r="A73" s="24"/>
    </row>
    <row r="74" customFormat="false" ht="14.25" hidden="false" customHeight="true" outlineLevel="0" collapsed="false">
      <c r="A74" s="24"/>
    </row>
    <row r="75" customFormat="false" ht="14.25" hidden="false" customHeight="true" outlineLevel="0" collapsed="false">
      <c r="A75" s="24"/>
    </row>
    <row r="76" customFormat="false" ht="14.25" hidden="false" customHeight="true" outlineLevel="0" collapsed="false">
      <c r="A76" s="24"/>
    </row>
    <row r="77" customFormat="false" ht="14.25" hidden="false" customHeight="true" outlineLevel="0" collapsed="false">
      <c r="A77" s="24"/>
    </row>
    <row r="78" customFormat="false" ht="14.25" hidden="false" customHeight="true" outlineLevel="0" collapsed="false">
      <c r="A78" s="24"/>
    </row>
    <row r="79" customFormat="false" ht="14.25" hidden="false" customHeight="true" outlineLevel="0" collapsed="false">
      <c r="A79" s="24"/>
    </row>
    <row r="80" customFormat="false" ht="14.25" hidden="false" customHeight="true" outlineLevel="0" collapsed="false">
      <c r="A80" s="24"/>
    </row>
    <row r="81" customFormat="false" ht="14.25" hidden="false" customHeight="true" outlineLevel="0" collapsed="false">
      <c r="A81" s="24"/>
    </row>
    <row r="82" customFormat="false" ht="14.25" hidden="false" customHeight="true" outlineLevel="0" collapsed="false">
      <c r="A82" s="24"/>
    </row>
    <row r="83" customFormat="false" ht="14.25" hidden="false" customHeight="true" outlineLevel="0" collapsed="false">
      <c r="A83" s="24"/>
    </row>
    <row r="84" customFormat="false" ht="14.25" hidden="false" customHeight="true" outlineLevel="0" collapsed="false">
      <c r="A84" s="24"/>
    </row>
    <row r="85" customFormat="false" ht="14.25" hidden="false" customHeight="true" outlineLevel="0" collapsed="false">
      <c r="A85" s="24"/>
    </row>
    <row r="86" customFormat="false" ht="14.25" hidden="false" customHeight="true" outlineLevel="0" collapsed="false">
      <c r="A86" s="24"/>
    </row>
    <row r="87" customFormat="false" ht="14.25" hidden="false" customHeight="true" outlineLevel="0" collapsed="false">
      <c r="A87" s="24"/>
    </row>
    <row r="88" customFormat="false" ht="14.25" hidden="false" customHeight="true" outlineLevel="0" collapsed="false">
      <c r="A88" s="24"/>
    </row>
    <row r="89" customFormat="false" ht="14.25" hidden="false" customHeight="true" outlineLevel="0" collapsed="false">
      <c r="A89" s="24"/>
    </row>
    <row r="90" customFormat="false" ht="14.25" hidden="false" customHeight="true" outlineLevel="0" collapsed="false">
      <c r="A90" s="24"/>
    </row>
    <row r="91" customFormat="false" ht="14.25" hidden="false" customHeight="true" outlineLevel="0" collapsed="false">
      <c r="A91" s="24"/>
    </row>
    <row r="92" customFormat="false" ht="14.25" hidden="false" customHeight="true" outlineLevel="0" collapsed="false">
      <c r="A92" s="24"/>
    </row>
    <row r="93" customFormat="false" ht="14.25" hidden="false" customHeight="true" outlineLevel="0" collapsed="false">
      <c r="A93" s="24"/>
    </row>
    <row r="94" customFormat="false" ht="14.25" hidden="false" customHeight="true" outlineLevel="0" collapsed="false">
      <c r="A94" s="24"/>
    </row>
    <row r="95" customFormat="false" ht="14.25" hidden="false" customHeight="true" outlineLevel="0" collapsed="false">
      <c r="A95" s="24"/>
    </row>
    <row r="96" customFormat="false" ht="14.25" hidden="false" customHeight="true" outlineLevel="0" collapsed="false">
      <c r="A96" s="24"/>
    </row>
    <row r="97" customFormat="false" ht="14.25" hidden="false" customHeight="true" outlineLevel="0" collapsed="false">
      <c r="A97" s="24"/>
    </row>
    <row r="98" customFormat="false" ht="14.25" hidden="false" customHeight="true" outlineLevel="0" collapsed="false">
      <c r="A98" s="24"/>
    </row>
    <row r="99" customFormat="false" ht="14.25" hidden="false" customHeight="true" outlineLevel="0" collapsed="false">
      <c r="A99" s="24"/>
    </row>
    <row r="100" customFormat="false" ht="14.25" hidden="false" customHeight="true" outlineLevel="0" collapsed="false">
      <c r="A100" s="24"/>
    </row>
    <row r="101" customFormat="false" ht="14.25" hidden="false" customHeight="true" outlineLevel="0" collapsed="false">
      <c r="A101" s="24"/>
    </row>
    <row r="102" customFormat="false" ht="14.25" hidden="false" customHeight="true" outlineLevel="0" collapsed="false">
      <c r="A102" s="24"/>
    </row>
    <row r="103" customFormat="false" ht="14.25" hidden="false" customHeight="true" outlineLevel="0" collapsed="false">
      <c r="A103" s="24"/>
    </row>
    <row r="104" customFormat="false" ht="14.25" hidden="false" customHeight="true" outlineLevel="0" collapsed="false">
      <c r="A104" s="24"/>
    </row>
    <row r="105" customFormat="false" ht="14.25" hidden="false" customHeight="true" outlineLevel="0" collapsed="false">
      <c r="A105" s="24"/>
    </row>
    <row r="106" customFormat="false" ht="14.25" hidden="false" customHeight="true" outlineLevel="0" collapsed="false">
      <c r="A106" s="24"/>
    </row>
    <row r="107" customFormat="false" ht="14.25" hidden="false" customHeight="true" outlineLevel="0" collapsed="false">
      <c r="A107" s="24"/>
    </row>
    <row r="108" customFormat="false" ht="14.25" hidden="false" customHeight="true" outlineLevel="0" collapsed="false">
      <c r="A108" s="24"/>
    </row>
    <row r="109" customFormat="false" ht="14.25" hidden="false" customHeight="true" outlineLevel="0" collapsed="false">
      <c r="A109" s="24"/>
    </row>
    <row r="110" customFormat="false" ht="14.25" hidden="false" customHeight="true" outlineLevel="0" collapsed="false">
      <c r="A110" s="24"/>
    </row>
    <row r="111" customFormat="false" ht="14.25" hidden="false" customHeight="true" outlineLevel="0" collapsed="false">
      <c r="A111" s="24"/>
    </row>
    <row r="112" customFormat="false" ht="14.25" hidden="false" customHeight="true" outlineLevel="0" collapsed="false">
      <c r="A112" s="24"/>
    </row>
    <row r="113" customFormat="false" ht="14.25" hidden="false" customHeight="true" outlineLevel="0" collapsed="false">
      <c r="A113" s="24"/>
    </row>
    <row r="114" customFormat="false" ht="14.25" hidden="false" customHeight="true" outlineLevel="0" collapsed="false">
      <c r="A114" s="24"/>
    </row>
    <row r="115" customFormat="false" ht="14.25" hidden="false" customHeight="true" outlineLevel="0" collapsed="false">
      <c r="A115" s="24"/>
    </row>
    <row r="116" customFormat="false" ht="14.25" hidden="false" customHeight="true" outlineLevel="0" collapsed="false">
      <c r="A116" s="24"/>
    </row>
    <row r="117" customFormat="false" ht="14.25" hidden="false" customHeight="true" outlineLevel="0" collapsed="false">
      <c r="A117" s="24"/>
    </row>
    <row r="118" customFormat="false" ht="14.25" hidden="false" customHeight="true" outlineLevel="0" collapsed="false">
      <c r="A118" s="24"/>
    </row>
    <row r="119" customFormat="false" ht="14.25" hidden="false" customHeight="true" outlineLevel="0" collapsed="false">
      <c r="A119" s="24"/>
    </row>
    <row r="120" customFormat="false" ht="14.25" hidden="false" customHeight="true" outlineLevel="0" collapsed="false">
      <c r="A120" s="24"/>
    </row>
    <row r="121" customFormat="false" ht="14.25" hidden="false" customHeight="true" outlineLevel="0" collapsed="false">
      <c r="A121" s="24"/>
    </row>
    <row r="122" customFormat="false" ht="14.25" hidden="false" customHeight="true" outlineLevel="0" collapsed="false">
      <c r="A122" s="24"/>
    </row>
    <row r="123" customFormat="false" ht="14.25" hidden="false" customHeight="true" outlineLevel="0" collapsed="false">
      <c r="A123" s="24"/>
    </row>
    <row r="124" customFormat="false" ht="14.25" hidden="false" customHeight="true" outlineLevel="0" collapsed="false">
      <c r="A124" s="24"/>
    </row>
    <row r="125" customFormat="false" ht="14.25" hidden="false" customHeight="true" outlineLevel="0" collapsed="false">
      <c r="A125" s="24"/>
    </row>
    <row r="126" customFormat="false" ht="14.25" hidden="false" customHeight="true" outlineLevel="0" collapsed="false">
      <c r="A126" s="24"/>
    </row>
    <row r="127" customFormat="false" ht="14.25" hidden="false" customHeight="true" outlineLevel="0" collapsed="false">
      <c r="A127" s="24"/>
    </row>
    <row r="128" customFormat="false" ht="14.25" hidden="false" customHeight="true" outlineLevel="0" collapsed="false">
      <c r="A128" s="24"/>
    </row>
    <row r="129" customFormat="false" ht="14.25" hidden="false" customHeight="true" outlineLevel="0" collapsed="false">
      <c r="A129" s="24"/>
    </row>
    <row r="130" customFormat="false" ht="14.25" hidden="false" customHeight="true" outlineLevel="0" collapsed="false">
      <c r="A130" s="24"/>
    </row>
    <row r="131" customFormat="false" ht="14.25" hidden="false" customHeight="true" outlineLevel="0" collapsed="false">
      <c r="A131" s="24"/>
    </row>
    <row r="132" customFormat="false" ht="14.25" hidden="false" customHeight="true" outlineLevel="0" collapsed="false">
      <c r="A132" s="24"/>
    </row>
    <row r="133" customFormat="false" ht="14.25" hidden="false" customHeight="true" outlineLevel="0" collapsed="false">
      <c r="A133" s="24"/>
    </row>
    <row r="134" customFormat="false" ht="14.25" hidden="false" customHeight="true" outlineLevel="0" collapsed="false">
      <c r="A134" s="24"/>
    </row>
    <row r="135" customFormat="false" ht="14.25" hidden="false" customHeight="true" outlineLevel="0" collapsed="false">
      <c r="A135" s="24"/>
    </row>
    <row r="136" customFormat="false" ht="14.25" hidden="false" customHeight="true" outlineLevel="0" collapsed="false">
      <c r="A136" s="24"/>
    </row>
    <row r="137" customFormat="false" ht="14.25" hidden="false" customHeight="true" outlineLevel="0" collapsed="false">
      <c r="A137" s="24"/>
    </row>
    <row r="138" customFormat="false" ht="14.25" hidden="false" customHeight="true" outlineLevel="0" collapsed="false">
      <c r="A138" s="24"/>
    </row>
    <row r="139" customFormat="false" ht="14.25" hidden="false" customHeight="true" outlineLevel="0" collapsed="false">
      <c r="A139" s="24"/>
    </row>
    <row r="140" customFormat="false" ht="14.25" hidden="false" customHeight="true" outlineLevel="0" collapsed="false">
      <c r="A140" s="24"/>
    </row>
    <row r="141" customFormat="false" ht="14.25" hidden="false" customHeight="true" outlineLevel="0" collapsed="false">
      <c r="A141" s="24"/>
    </row>
    <row r="142" customFormat="false" ht="14.25" hidden="false" customHeight="true" outlineLevel="0" collapsed="false">
      <c r="A142" s="24"/>
    </row>
    <row r="143" customFormat="false" ht="14.25" hidden="false" customHeight="true" outlineLevel="0" collapsed="false">
      <c r="A143" s="24"/>
    </row>
    <row r="144" customFormat="false" ht="14.25" hidden="false" customHeight="true" outlineLevel="0" collapsed="false">
      <c r="A144" s="24"/>
    </row>
    <row r="145" customFormat="false" ht="14.25" hidden="false" customHeight="true" outlineLevel="0" collapsed="false">
      <c r="A145" s="24"/>
    </row>
    <row r="146" customFormat="false" ht="14.25" hidden="false" customHeight="true" outlineLevel="0" collapsed="false">
      <c r="A146" s="24"/>
    </row>
    <row r="147" customFormat="false" ht="14.25" hidden="false" customHeight="true" outlineLevel="0" collapsed="false">
      <c r="A147" s="24"/>
    </row>
    <row r="148" customFormat="false" ht="14.25" hidden="false" customHeight="true" outlineLevel="0" collapsed="false">
      <c r="A148" s="24"/>
    </row>
    <row r="149" customFormat="false" ht="14.25" hidden="false" customHeight="true" outlineLevel="0" collapsed="false">
      <c r="A149" s="24"/>
    </row>
    <row r="150" customFormat="false" ht="14.25" hidden="false" customHeight="true" outlineLevel="0" collapsed="false">
      <c r="A150" s="24"/>
    </row>
    <row r="151" customFormat="false" ht="14.25" hidden="false" customHeight="true" outlineLevel="0" collapsed="false">
      <c r="A151" s="24"/>
    </row>
    <row r="152" customFormat="false" ht="14.25" hidden="false" customHeight="true" outlineLevel="0" collapsed="false">
      <c r="A152" s="24"/>
    </row>
    <row r="153" customFormat="false" ht="14.25" hidden="false" customHeight="true" outlineLevel="0" collapsed="false">
      <c r="A153" s="24"/>
    </row>
    <row r="154" customFormat="false" ht="14.25" hidden="false" customHeight="true" outlineLevel="0" collapsed="false">
      <c r="A154" s="24"/>
    </row>
    <row r="155" customFormat="false" ht="14.25" hidden="false" customHeight="true" outlineLevel="0" collapsed="false">
      <c r="A155" s="24"/>
    </row>
    <row r="156" customFormat="false" ht="14.25" hidden="false" customHeight="true" outlineLevel="0" collapsed="false">
      <c r="A156" s="24"/>
    </row>
    <row r="157" customFormat="false" ht="14.25" hidden="false" customHeight="true" outlineLevel="0" collapsed="false">
      <c r="A157" s="24"/>
    </row>
    <row r="158" customFormat="false" ht="14.25" hidden="false" customHeight="true" outlineLevel="0" collapsed="false">
      <c r="A158" s="24"/>
    </row>
    <row r="159" customFormat="false" ht="14.25" hidden="false" customHeight="true" outlineLevel="0" collapsed="false">
      <c r="A159" s="24"/>
    </row>
    <row r="160" customFormat="false" ht="14.25" hidden="false" customHeight="true" outlineLevel="0" collapsed="false">
      <c r="A160" s="24"/>
    </row>
    <row r="161" customFormat="false" ht="14.25" hidden="false" customHeight="true" outlineLevel="0" collapsed="false">
      <c r="A161" s="24"/>
    </row>
    <row r="162" customFormat="false" ht="14.25" hidden="false" customHeight="true" outlineLevel="0" collapsed="false">
      <c r="A162" s="24"/>
    </row>
    <row r="163" customFormat="false" ht="14.25" hidden="false" customHeight="true" outlineLevel="0" collapsed="false">
      <c r="A163" s="24"/>
    </row>
    <row r="164" customFormat="false" ht="14.25" hidden="false" customHeight="true" outlineLevel="0" collapsed="false">
      <c r="A164" s="24"/>
    </row>
    <row r="165" customFormat="false" ht="14.25" hidden="false" customHeight="true" outlineLevel="0" collapsed="false">
      <c r="A165" s="24"/>
    </row>
    <row r="166" customFormat="false" ht="14.25" hidden="false" customHeight="true" outlineLevel="0" collapsed="false">
      <c r="A166" s="24"/>
    </row>
    <row r="167" customFormat="false" ht="14.25" hidden="false" customHeight="true" outlineLevel="0" collapsed="false">
      <c r="A167" s="24"/>
    </row>
    <row r="168" customFormat="false" ht="14.25" hidden="false" customHeight="true" outlineLevel="0" collapsed="false">
      <c r="A168" s="24"/>
    </row>
    <row r="169" customFormat="false" ht="14.25" hidden="false" customHeight="true" outlineLevel="0" collapsed="false">
      <c r="A169" s="24"/>
    </row>
    <row r="170" customFormat="false" ht="14.25" hidden="false" customHeight="true" outlineLevel="0" collapsed="false">
      <c r="A170" s="24"/>
    </row>
    <row r="171" customFormat="false" ht="14.25" hidden="false" customHeight="true" outlineLevel="0" collapsed="false">
      <c r="A171" s="24"/>
    </row>
    <row r="172" customFormat="false" ht="14.25" hidden="false" customHeight="true" outlineLevel="0" collapsed="false">
      <c r="A172" s="24"/>
    </row>
    <row r="173" customFormat="false" ht="14.25" hidden="false" customHeight="true" outlineLevel="0" collapsed="false">
      <c r="A173" s="24"/>
    </row>
    <row r="174" customFormat="false" ht="14.25" hidden="false" customHeight="true" outlineLevel="0" collapsed="false">
      <c r="A174" s="24"/>
    </row>
    <row r="175" customFormat="false" ht="14.25" hidden="false" customHeight="true" outlineLevel="0" collapsed="false">
      <c r="A175" s="24"/>
    </row>
    <row r="176" customFormat="false" ht="14.25" hidden="false" customHeight="true" outlineLevel="0" collapsed="false">
      <c r="A176" s="24"/>
    </row>
    <row r="177" customFormat="false" ht="14.25" hidden="false" customHeight="true" outlineLevel="0" collapsed="false">
      <c r="A177" s="24"/>
    </row>
    <row r="178" customFormat="false" ht="14.25" hidden="false" customHeight="true" outlineLevel="0" collapsed="false">
      <c r="A178" s="24"/>
    </row>
    <row r="179" customFormat="false" ht="14.25" hidden="false" customHeight="true" outlineLevel="0" collapsed="false">
      <c r="A179" s="24"/>
    </row>
    <row r="180" customFormat="false" ht="14.25" hidden="false" customHeight="true" outlineLevel="0" collapsed="false">
      <c r="A180" s="24"/>
    </row>
    <row r="181" customFormat="false" ht="14.25" hidden="false" customHeight="true" outlineLevel="0" collapsed="false">
      <c r="A181" s="24"/>
    </row>
    <row r="182" customFormat="false" ht="14.25" hidden="false" customHeight="true" outlineLevel="0" collapsed="false">
      <c r="A182" s="24"/>
    </row>
    <row r="183" customFormat="false" ht="14.25" hidden="false" customHeight="true" outlineLevel="0" collapsed="false">
      <c r="A183" s="24"/>
    </row>
    <row r="184" customFormat="false" ht="14.25" hidden="false" customHeight="true" outlineLevel="0" collapsed="false">
      <c r="A184" s="24"/>
    </row>
    <row r="185" customFormat="false" ht="14.25" hidden="false" customHeight="true" outlineLevel="0" collapsed="false">
      <c r="A185" s="24"/>
    </row>
    <row r="186" customFormat="false" ht="14.25" hidden="false" customHeight="true" outlineLevel="0" collapsed="false">
      <c r="A186" s="24"/>
    </row>
    <row r="187" customFormat="false" ht="14.25" hidden="false" customHeight="true" outlineLevel="0" collapsed="false">
      <c r="A187" s="24"/>
    </row>
    <row r="188" customFormat="false" ht="14.25" hidden="false" customHeight="true" outlineLevel="0" collapsed="false">
      <c r="A188" s="24"/>
    </row>
    <row r="189" customFormat="false" ht="14.25" hidden="false" customHeight="true" outlineLevel="0" collapsed="false">
      <c r="A189" s="24"/>
    </row>
    <row r="190" customFormat="false" ht="14.25" hidden="false" customHeight="true" outlineLevel="0" collapsed="false">
      <c r="A190" s="24"/>
    </row>
    <row r="191" customFormat="false" ht="14.25" hidden="false" customHeight="true" outlineLevel="0" collapsed="false">
      <c r="A191" s="24"/>
    </row>
    <row r="192" customFormat="false" ht="14.25" hidden="false" customHeight="true" outlineLevel="0" collapsed="false">
      <c r="A192" s="24"/>
    </row>
    <row r="193" customFormat="false" ht="14.25" hidden="false" customHeight="true" outlineLevel="0" collapsed="false">
      <c r="A193" s="24"/>
    </row>
    <row r="194" customFormat="false" ht="14.25" hidden="false" customHeight="true" outlineLevel="0" collapsed="false">
      <c r="A194" s="24"/>
    </row>
    <row r="195" customFormat="false" ht="14.25" hidden="false" customHeight="true" outlineLevel="0" collapsed="false">
      <c r="A195" s="24"/>
    </row>
    <row r="196" customFormat="false" ht="14.25" hidden="false" customHeight="true" outlineLevel="0" collapsed="false">
      <c r="A196" s="24"/>
    </row>
    <row r="197" customFormat="false" ht="14.25" hidden="false" customHeight="true" outlineLevel="0" collapsed="false">
      <c r="A197" s="24"/>
    </row>
    <row r="198" customFormat="false" ht="14.25" hidden="false" customHeight="true" outlineLevel="0" collapsed="false">
      <c r="A198" s="24"/>
    </row>
    <row r="199" customFormat="false" ht="14.25" hidden="false" customHeight="true" outlineLevel="0" collapsed="false">
      <c r="A199" s="24"/>
    </row>
    <row r="200" customFormat="false" ht="14.25" hidden="false" customHeight="true" outlineLevel="0" collapsed="false">
      <c r="A200" s="24"/>
    </row>
    <row r="201" customFormat="false" ht="14.25" hidden="false" customHeight="false" outlineLevel="0" collapsed="false">
      <c r="A201" s="1" t="s">
        <v>368</v>
      </c>
      <c r="B201" s="1" t="s">
        <v>369</v>
      </c>
      <c r="C201" s="1" t="s">
        <v>28</v>
      </c>
      <c r="D201" s="1" t="s">
        <v>370</v>
      </c>
      <c r="E201" s="1" t="s">
        <v>371</v>
      </c>
      <c r="F201" s="1" t="s">
        <v>372</v>
      </c>
    </row>
    <row r="202" customFormat="false" ht="14.25" hidden="false" customHeight="false" outlineLevel="0" collapsed="false">
      <c r="A202" s="1" t="s">
        <v>368</v>
      </c>
      <c r="B202" s="1" t="s">
        <v>369</v>
      </c>
      <c r="C202" s="1" t="s">
        <v>373</v>
      </c>
      <c r="D202" s="1" t="s">
        <v>374</v>
      </c>
      <c r="E202" s="1" t="s">
        <v>375</v>
      </c>
      <c r="F202" s="1" t="s">
        <v>376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0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9" min="11" style="1" width="15"/>
    <col collapsed="false" customWidth="true" hidden="false" outlineLevel="0" max="21" min="20" style="1" width="22"/>
    <col collapsed="false" customWidth="true" hidden="false" outlineLevel="0" max="22" min="22" style="1" width="32"/>
    <col collapsed="false" customWidth="true" hidden="false" outlineLevel="0" max="23" min="23" style="1" width="42"/>
    <col collapsed="false" customWidth="true" hidden="false" outlineLevel="0" max="24" min="24" style="1" width="24"/>
    <col collapsed="false" customWidth="true" hidden="false" outlineLevel="0" max="25" min="25" style="1" width="38"/>
    <col collapsed="false" customWidth="true" hidden="false" outlineLevel="0" max="26" min="26" style="1" width="12"/>
    <col collapsed="false" customWidth="true" hidden="false" outlineLevel="0" max="27" min="27" style="1" width="24"/>
    <col collapsed="false" customWidth="true" hidden="false" outlineLevel="0" max="28" min="28" style="1" width="16"/>
    <col collapsed="false" customWidth="true" hidden="false" outlineLevel="0" max="29" min="29" style="1" width="12"/>
    <col collapsed="false" customWidth="true" hidden="false" outlineLevel="0" max="30" min="30" style="1" width="24"/>
    <col collapsed="false" customWidth="true" hidden="false" outlineLevel="0" max="32" min="31" style="1" width="16"/>
    <col collapsed="false" customWidth="true" hidden="false" outlineLevel="0" max="33" min="33" style="1" width="18"/>
    <col collapsed="false" customWidth="true" hidden="false" outlineLevel="0" max="34" min="34" style="1" width="38"/>
  </cols>
  <sheetData>
    <row r="1" customFormat="false" ht="27.75" hidden="false" customHeight="true" outlineLevel="0" collapsed="false">
      <c r="A1" s="25" t="s">
        <v>377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  <c r="O1" s="27"/>
      <c r="P1" s="27"/>
      <c r="Q1" s="26"/>
      <c r="R1" s="27"/>
      <c r="S1" s="27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3" customFormat="false" ht="189" hidden="false" customHeight="true" outlineLevel="0" collapsed="false">
      <c r="A3" s="28" t="s">
        <v>378</v>
      </c>
      <c r="B3" s="5" t="s">
        <v>379</v>
      </c>
      <c r="D3" s="29" t="s">
        <v>380</v>
      </c>
      <c r="E3" s="29" t="s">
        <v>381</v>
      </c>
      <c r="F3" s="29" t="s">
        <v>382</v>
      </c>
      <c r="G3" s="29" t="s">
        <v>383</v>
      </c>
    </row>
    <row r="4" customFormat="false" ht="135.75" hidden="false" customHeight="true" outlineLevel="0" collapsed="false">
      <c r="A4" s="28" t="s">
        <v>384</v>
      </c>
      <c r="B4" s="5" t="s">
        <v>385</v>
      </c>
      <c r="D4" s="30" t="s">
        <v>386</v>
      </c>
      <c r="E4" s="12" t="n">
        <v>100</v>
      </c>
      <c r="F4" s="1" t="s">
        <v>387</v>
      </c>
      <c r="G4" s="5" t="s">
        <v>388</v>
      </c>
    </row>
    <row r="5" customFormat="false" ht="135.75" hidden="false" customHeight="true" outlineLevel="0" collapsed="false">
      <c r="A5" s="28" t="s">
        <v>389</v>
      </c>
      <c r="B5" s="5" t="s">
        <v>390</v>
      </c>
      <c r="D5" s="30" t="s">
        <v>391</v>
      </c>
      <c r="E5" s="12" t="n">
        <v>5</v>
      </c>
      <c r="F5" s="1" t="s">
        <v>392</v>
      </c>
      <c r="G5" s="5" t="s">
        <v>393</v>
      </c>
    </row>
    <row r="6" customFormat="false" ht="68.25" hidden="false" customHeight="true" outlineLevel="0" collapsed="false">
      <c r="A6" s="28" t="s">
        <v>394</v>
      </c>
      <c r="B6" s="5" t="s">
        <v>395</v>
      </c>
      <c r="D6" s="30" t="s">
        <v>396</v>
      </c>
      <c r="E6" s="12" t="n">
        <v>0.095</v>
      </c>
      <c r="F6" s="1" t="s">
        <v>397</v>
      </c>
      <c r="G6" s="5" t="s">
        <v>398</v>
      </c>
    </row>
    <row r="7" customFormat="false" ht="68.25" hidden="false" customHeight="true" outlineLevel="0" collapsed="false">
      <c r="D7" s="30" t="s">
        <v>399</v>
      </c>
      <c r="E7" s="12" t="n">
        <v>7.1</v>
      </c>
      <c r="F7" s="1" t="s">
        <v>397</v>
      </c>
      <c r="G7" s="5" t="s">
        <v>400</v>
      </c>
    </row>
    <row r="8" customFormat="false" ht="68.25" hidden="false" customHeight="true" outlineLevel="0" collapsed="false">
      <c r="D8" s="30" t="s">
        <v>401</v>
      </c>
      <c r="E8" s="12" t="n">
        <v>5</v>
      </c>
      <c r="F8" s="1" t="s">
        <v>397</v>
      </c>
      <c r="G8" s="5" t="s">
        <v>400</v>
      </c>
    </row>
    <row r="9" customFormat="false" ht="68.25" hidden="false" customHeight="true" outlineLevel="0" collapsed="false">
      <c r="D9" s="30" t="s">
        <v>402</v>
      </c>
      <c r="E9" s="12" t="n">
        <v>4.2</v>
      </c>
      <c r="F9" s="1" t="s">
        <v>397</v>
      </c>
      <c r="G9" s="5" t="s">
        <v>400</v>
      </c>
    </row>
    <row r="10" customFormat="false" ht="81.75" hidden="false" customHeight="true" outlineLevel="0" collapsed="false">
      <c r="D10" s="30" t="s">
        <v>403</v>
      </c>
      <c r="E10" s="12" t="n">
        <v>1.16</v>
      </c>
      <c r="F10" s="1" t="s">
        <v>397</v>
      </c>
      <c r="G10" s="5" t="s">
        <v>404</v>
      </c>
    </row>
    <row r="11" customFormat="false" ht="95.25" hidden="false" customHeight="true" outlineLevel="0" collapsed="false">
      <c r="D11" s="30" t="s">
        <v>405</v>
      </c>
      <c r="E11" s="12" t="n">
        <v>10</v>
      </c>
      <c r="F11" s="1" t="s">
        <v>406</v>
      </c>
      <c r="G11" s="5" t="s">
        <v>407</v>
      </c>
    </row>
    <row r="12" customFormat="false" ht="95.25" hidden="false" customHeight="true" outlineLevel="0" collapsed="false">
      <c r="D12" s="30" t="s">
        <v>408</v>
      </c>
      <c r="E12" s="12" t="n">
        <v>5</v>
      </c>
      <c r="F12" s="1" t="s">
        <v>406</v>
      </c>
      <c r="G12" s="5" t="s">
        <v>407</v>
      </c>
    </row>
    <row r="13" customFormat="false" ht="81.75" hidden="false" customHeight="true" outlineLevel="0" collapsed="false">
      <c r="D13" s="30" t="s">
        <v>409</v>
      </c>
      <c r="E13" s="12" t="n">
        <v>20</v>
      </c>
      <c r="F13" s="1" t="s">
        <v>406</v>
      </c>
      <c r="G13" s="5" t="s">
        <v>410</v>
      </c>
    </row>
    <row r="14" customFormat="false" ht="81.75" hidden="false" customHeight="true" outlineLevel="0" collapsed="false">
      <c r="D14" s="30" t="s">
        <v>411</v>
      </c>
      <c r="E14" s="12" t="n">
        <v>3</v>
      </c>
      <c r="F14" s="1" t="s">
        <v>412</v>
      </c>
      <c r="G14" s="5" t="s">
        <v>413</v>
      </c>
    </row>
    <row r="15" customFormat="false" ht="14.25" hidden="false" customHeight="true" outlineLevel="0" collapsed="false">
      <c r="A15" s="1" t="s">
        <v>414</v>
      </c>
      <c r="B15" s="1" t="s">
        <v>415</v>
      </c>
      <c r="D15" s="1" t="s">
        <v>416</v>
      </c>
      <c r="E15" s="1" t="s">
        <v>417</v>
      </c>
      <c r="F15" s="1" t="s">
        <v>418</v>
      </c>
      <c r="G15" s="1" t="s">
        <v>419</v>
      </c>
    </row>
    <row r="17" customFormat="false" ht="36" hidden="false" customHeight="true" outlineLevel="0" collapsed="false">
      <c r="A17" s="8" t="s">
        <v>420</v>
      </c>
      <c r="B17" s="8" t="s">
        <v>421</v>
      </c>
      <c r="C17" s="8" t="s">
        <v>422</v>
      </c>
      <c r="D17" s="8" t="s">
        <v>423</v>
      </c>
      <c r="E17" s="8" t="s">
        <v>424</v>
      </c>
      <c r="F17" s="8" t="s">
        <v>425</v>
      </c>
      <c r="G17" s="8" t="s">
        <v>426</v>
      </c>
      <c r="H17" s="8" t="s">
        <v>427</v>
      </c>
      <c r="I17" s="8" t="s">
        <v>428</v>
      </c>
      <c r="J17" s="8" t="s">
        <v>429</v>
      </c>
      <c r="K17" s="8" t="s">
        <v>430</v>
      </c>
      <c r="L17" s="8" t="s">
        <v>431</v>
      </c>
      <c r="M17" s="8" t="s">
        <v>432</v>
      </c>
      <c r="N17" s="8" t="s">
        <v>433</v>
      </c>
      <c r="O17" s="8" t="s">
        <v>434</v>
      </c>
      <c r="P17" s="8" t="s">
        <v>435</v>
      </c>
      <c r="Q17" s="8" t="s">
        <v>436</v>
      </c>
      <c r="R17" s="8" t="s">
        <v>437</v>
      </c>
      <c r="S17" s="8" t="s">
        <v>438</v>
      </c>
      <c r="T17" s="8" t="s">
        <v>141</v>
      </c>
      <c r="U17" s="8" t="s">
        <v>439</v>
      </c>
      <c r="V17" s="8" t="s">
        <v>440</v>
      </c>
      <c r="W17" s="8" t="s">
        <v>13</v>
      </c>
      <c r="X17" s="8" t="s">
        <v>441</v>
      </c>
      <c r="Y17" s="8" t="s">
        <v>442</v>
      </c>
      <c r="Z17" s="8" t="s">
        <v>443</v>
      </c>
      <c r="AA17" s="8" t="s">
        <v>444</v>
      </c>
      <c r="AB17" s="8" t="s">
        <v>445</v>
      </c>
      <c r="AC17" s="8" t="s">
        <v>446</v>
      </c>
      <c r="AD17" s="8" t="s">
        <v>447</v>
      </c>
      <c r="AE17" s="8" t="s">
        <v>448</v>
      </c>
      <c r="AF17" s="8" t="s">
        <v>449</v>
      </c>
      <c r="AG17" s="8" t="s">
        <v>450</v>
      </c>
      <c r="AH17" s="8" t="s">
        <v>451</v>
      </c>
    </row>
    <row r="18" customFormat="false" ht="27.75" hidden="false" customHeight="true" outlineLevel="0" collapsed="false">
      <c r="A18" s="31" t="s">
        <v>452</v>
      </c>
      <c r="B18" s="31" t="s">
        <v>453</v>
      </c>
      <c r="C18" s="31" t="s">
        <v>454</v>
      </c>
      <c r="D18" s="31" t="s">
        <v>452</v>
      </c>
      <c r="E18" s="31" t="n">
        <v>250</v>
      </c>
      <c r="F18" s="31"/>
      <c r="G18" s="31"/>
      <c r="H18" s="31"/>
      <c r="I18" s="31"/>
      <c r="J18" s="31" t="n">
        <f aca="false">IFERROR(SUM(E18,G18,I18)/1000,"")</f>
        <v>0.25</v>
      </c>
      <c r="K18" s="32" t="n">
        <f aca="false">$E$4</f>
        <v>100</v>
      </c>
      <c r="L18" s="31" t="n">
        <f aca="false">IF(J18="","",J18/1000*K18*(1+$E$5/100))</f>
        <v>0.02625</v>
      </c>
      <c r="M18" s="31" t="n">
        <f aca="false">IF(J18="","",J18/1000*$E$6)</f>
        <v>2.375E-005</v>
      </c>
      <c r="N18" s="32" t="n">
        <f aca="false">IF(C18="ampoule verre",$E$12,IF(C18="poche PEA",$E$13,$E$11))</f>
        <v>10</v>
      </c>
      <c r="O18" s="32" t="n">
        <f aca="false">IF(C18="ampoule verre",$E$8,IF(C18="poche PEA",$E$9,$E$7))</f>
        <v>7.1</v>
      </c>
      <c r="P18" s="31" t="n">
        <f aca="false">N18/1000*O18*(1+$E$5/100)</f>
        <v>0.07455</v>
      </c>
      <c r="Q18" s="32" t="n">
        <f aca="false">$E$14</f>
        <v>3</v>
      </c>
      <c r="R18" s="31" t="n">
        <f aca="false">Q18/1000*$E$10</f>
        <v>0.00348</v>
      </c>
      <c r="S18" s="31" t="n">
        <f aca="false">IF(J18="","",SUM(L18:M18,P18,R18))</f>
        <v>0.10430375</v>
      </c>
      <c r="T18" s="31" t="str">
        <f aca="false">IF(OR(J18="",K18=$E$4),"Élevé - FE PA générique",IF(W18&lt;&gt;"","À vérifier","Moyen"))</f>
        <v>Élevé - FE PA générique</v>
      </c>
      <c r="U18" s="31" t="s">
        <v>455</v>
      </c>
      <c r="V18" s="31" t="s">
        <v>456</v>
      </c>
      <c r="W18" s="31"/>
      <c r="X18" s="1" t="str">
        <f aca="false">IF(A18="","",IF(OR(ISNUMBER(SEARCH("poche",C18)),ISNUMBER(SEARCH("ampoule",C18)),ISNUMBER(SEARCH("plastique",C18))),"Prêt à être dilué / administré (hypothèse)","Reconstitution nécessaire (hypothèse)"))</f>
        <v>Reconstitution nécessaire (hypothèse)</v>
      </c>
      <c r="Y18" s="1" t="str">
        <f aca="false">IF(A18="","",IF(ISNUMBER(SEARCH("Reconstitution",X18)),"Flacon/poudre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8" s="1" t="n">
        <f aca="false">IF(A18="","",IF(ISNUMBER(SEARCH("Reconstitution",X18)),1,0))</f>
        <v>1</v>
      </c>
      <c r="AA18" s="1" t="str">
        <f aca="false">IF(Z18&gt;0,"SERINGUE_PP_24ML","")</f>
        <v>SERINGUE_PP_24ML</v>
      </c>
      <c r="AB18" s="27" t="n">
        <f aca="false">IF(Z18&gt;0,Z18*VLOOKUP(AA18,FACTEURS_ITEMS!$A$3:$J$30,4,FALSE()),0)</f>
        <v>0.069</v>
      </c>
      <c r="AC18" s="1" t="n">
        <f aca="false">IF(A18="","",IF(ISNUMBER(SEARCH("Reconstitution",X18)),1,0))</f>
        <v>1</v>
      </c>
      <c r="AD18" s="1" t="str">
        <f aca="false">IF(AC18&gt;0,"AIGUILLE_RECONSTITUTION","")</f>
        <v>AIGUILLE_RECONSTITUTION</v>
      </c>
      <c r="AE18" s="27" t="n">
        <f aca="false">IF(AC18&gt;0,AC18*VLOOKUP(AD18,FACTEURS_ITEMS!$A$3:$J$30,4,FALSE()),0)</f>
        <v>0.01</v>
      </c>
      <c r="AF18" s="27" t="n">
        <f aca="false">IF(A18="","",AB18+AE18)</f>
        <v>0.079</v>
      </c>
      <c r="AG18" s="27" t="n">
        <f aca="false">IF(A18="","",S18+AF18)</f>
        <v>0.18330375</v>
      </c>
      <c r="AH18" s="1" t="str">
        <f aca="false">IF(A18="","",IF(AF18&gt;0,"ACV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19" customFormat="false" ht="27.75" hidden="false" customHeight="true" outlineLevel="0" collapsed="false">
      <c r="A19" s="31" t="s">
        <v>452</v>
      </c>
      <c r="B19" s="31" t="s">
        <v>457</v>
      </c>
      <c r="C19" s="31" t="s">
        <v>454</v>
      </c>
      <c r="D19" s="31" t="s">
        <v>452</v>
      </c>
      <c r="E19" s="31" t="n">
        <v>500</v>
      </c>
      <c r="F19" s="31"/>
      <c r="G19" s="31"/>
      <c r="H19" s="31"/>
      <c r="I19" s="31"/>
      <c r="J19" s="31" t="n">
        <f aca="false">IFERROR(SUM(E19,G19,I19)/1000,"")</f>
        <v>0.5</v>
      </c>
      <c r="K19" s="32" t="n">
        <f aca="false">$E$4</f>
        <v>100</v>
      </c>
      <c r="L19" s="31" t="n">
        <f aca="false">IF(J19="","",J19/1000*K19*(1+$E$5/100))</f>
        <v>0.0525</v>
      </c>
      <c r="M19" s="31" t="n">
        <f aca="false">IF(J19="","",J19/1000*$E$6)</f>
        <v>4.75E-005</v>
      </c>
      <c r="N19" s="32" t="n">
        <f aca="false">IF(C19="ampoule verre",$E$12,IF(C19="poche PEA",$E$13,$E$11))</f>
        <v>10</v>
      </c>
      <c r="O19" s="32" t="n">
        <f aca="false">IF(C19="ampoule verre",$E$8,IF(C19="poche PEA",$E$9,$E$7))</f>
        <v>7.1</v>
      </c>
      <c r="P19" s="31" t="n">
        <f aca="false">N19/1000*O19*(1+$E$5/100)</f>
        <v>0.07455</v>
      </c>
      <c r="Q19" s="32" t="n">
        <f aca="false">$E$14</f>
        <v>3</v>
      </c>
      <c r="R19" s="31" t="n">
        <f aca="false">Q19/1000*$E$10</f>
        <v>0.00348</v>
      </c>
      <c r="S19" s="31" t="n">
        <f aca="false">IF(J19="","",SUM(L19:M19,P19,R19))</f>
        <v>0.1305775</v>
      </c>
      <c r="T19" s="31" t="str">
        <f aca="false">IF(OR(J19="",K19=$E$4),"Élevé - FE PA générique",IF(W19&lt;&gt;"","À vérifier","Moyen"))</f>
        <v>Élevé - FE PA générique</v>
      </c>
      <c r="U19" s="31" t="s">
        <v>455</v>
      </c>
      <c r="V19" s="31" t="s">
        <v>456</v>
      </c>
      <c r="W19" s="31"/>
      <c r="X19" s="1" t="str">
        <f aca="false">IF(A19="","",IF(OR(ISNUMBER(SEARCH("poche",C19)),ISNUMBER(SEARCH("ampoule",C19)),ISNUMBER(SEARCH("plastique",C19))),"Prêt à être dilué / administré (hypothèse)","Reconstitution nécessaire (hypothèse)"))</f>
        <v>Reconstitution nécessaire (hypothèse)</v>
      </c>
      <c r="Y19" s="1" t="str">
        <f aca="false">IF(A19="","",IF(ISNUMBER(SEARCH("Reconstitution",X19)),"Flacon/poudre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9" s="1" t="n">
        <f aca="false">IF(A19="","",IF(ISNUMBER(SEARCH("Reconstitution",X19)),1,0))</f>
        <v>1</v>
      </c>
      <c r="AA19" s="1" t="str">
        <f aca="false">IF(Z19&gt;0,"SERINGUE_PP_24ML","")</f>
        <v>SERINGUE_PP_24ML</v>
      </c>
      <c r="AB19" s="27" t="n">
        <f aca="false">IF(Z19&gt;0,Z19*VLOOKUP(AA19,FACTEURS_ITEMS!$A$3:$J$30,4,FALSE()),0)</f>
        <v>0.069</v>
      </c>
      <c r="AC19" s="1" t="n">
        <f aca="false">IF(A19="","",IF(ISNUMBER(SEARCH("Reconstitution",X19)),1,0))</f>
        <v>1</v>
      </c>
      <c r="AD19" s="1" t="str">
        <f aca="false">IF(AC19&gt;0,"AIGUILLE_RECONSTITUTION","")</f>
        <v>AIGUILLE_RECONSTITUTION</v>
      </c>
      <c r="AE19" s="27" t="n">
        <f aca="false">IF(AC19&gt;0,AC19*VLOOKUP(AD19,FACTEURS_ITEMS!$A$3:$J$30,4,FALSE()),0)</f>
        <v>0.01</v>
      </c>
      <c r="AF19" s="27" t="n">
        <f aca="false">IF(A19="","",AB19+AE19)</f>
        <v>0.079</v>
      </c>
      <c r="AG19" s="27" t="n">
        <f aca="false">IF(A19="","",S19+AF19)</f>
        <v>0.2095775</v>
      </c>
      <c r="AH19" s="1" t="str">
        <f aca="false">IF(A19="","",IF(AF19&gt;0,"ACV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0" customFormat="false" ht="27.75" hidden="false" customHeight="true" outlineLevel="0" collapsed="false">
      <c r="A20" s="31" t="s">
        <v>458</v>
      </c>
      <c r="B20" s="31" t="s">
        <v>459</v>
      </c>
      <c r="C20" s="31" t="s">
        <v>460</v>
      </c>
      <c r="D20" s="31" t="s">
        <v>458</v>
      </c>
      <c r="E20" s="31" t="n">
        <v>250</v>
      </c>
      <c r="F20" s="31"/>
      <c r="G20" s="31"/>
      <c r="H20" s="31"/>
      <c r="I20" s="31"/>
      <c r="J20" s="31" t="n">
        <f aca="false">IFERROR(SUM(E20,G20,I20)/1000,"")</f>
        <v>0.25</v>
      </c>
      <c r="K20" s="32" t="n">
        <f aca="false">$E$4</f>
        <v>100</v>
      </c>
      <c r="L20" s="31" t="n">
        <f aca="false">IF(J20="","",J20/1000*K20*(1+$E$5/100))</f>
        <v>0.02625</v>
      </c>
      <c r="M20" s="31" t="n">
        <f aca="false">IF(J20="","",J20/1000*$E$6)</f>
        <v>2.375E-005</v>
      </c>
      <c r="N20" s="32" t="n">
        <f aca="false">IF(C20="ampoule verre",$E$12,IF(C20="poche PEA",$E$13,$E$11))</f>
        <v>5</v>
      </c>
      <c r="O20" s="32" t="n">
        <f aca="false">IF(C20="ampoule verre",$E$8,IF(C20="poche PEA",$E$9,$E$7))</f>
        <v>5</v>
      </c>
      <c r="P20" s="31" t="n">
        <f aca="false">N20/1000*O20*(1+$E$5/100)</f>
        <v>0.02625</v>
      </c>
      <c r="Q20" s="32" t="n">
        <f aca="false">$E$14</f>
        <v>3</v>
      </c>
      <c r="R20" s="31" t="n">
        <f aca="false">Q20/1000*$E$10</f>
        <v>0.00348</v>
      </c>
      <c r="S20" s="31" t="n">
        <f aca="false">IF(J20="","",SUM(L20:M20,P20,R20))</f>
        <v>0.05600375</v>
      </c>
      <c r="T20" s="31" t="str">
        <f aca="false">IF(OR(J20="",K20=$E$4),"Élevé - FE PA générique",IF(W20&lt;&gt;"","À vérifier","Moyen"))</f>
        <v>Élevé - FE PA générique</v>
      </c>
      <c r="U20" s="31" t="s">
        <v>455</v>
      </c>
      <c r="V20" s="31" t="s">
        <v>456</v>
      </c>
      <c r="W20" s="31"/>
      <c r="X20" s="1" t="str">
        <f aca="false">IF(A20="","",IF(OR(ISNUMBER(SEARCH("poche",C20)),ISNUMBER(SEARCH("ampoule",C20)),ISNUMBER(SEARCH("plastique",C20))),"Prêt à être dilué / administré (hypothèse)","Reconstitution nécessaire (hypothèse)"))</f>
        <v>Prêt à être dilué / administré (hypothèse)</v>
      </c>
      <c r="Y20" s="1" t="str">
        <f aca="false">IF(A20="","",IF(ISNUMBER(SEARCH("Reconstitution",X20)),"Flacon/poudre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20" s="1" t="n">
        <f aca="false">IF(A20="","",IF(ISNUMBER(SEARCH("Reconstitution",X20)),1,0))</f>
        <v>0</v>
      </c>
      <c r="AA20" s="1" t="str">
        <f aca="false">IF(Z20&gt;0,"SERINGUE_PP_24ML","")</f>
        <v/>
      </c>
      <c r="AB20" s="27" t="n">
        <f aca="false">IF(Z20&gt;0,Z20*VLOOKUP(AA20,FACTEURS_ITEMS!$A$3:$J$30,4,FALSE()),0)</f>
        <v>0</v>
      </c>
      <c r="AC20" s="1" t="n">
        <f aca="false">IF(A20="","",IF(ISNUMBER(SEARCH("Reconstitution",X20)),1,0))</f>
        <v>0</v>
      </c>
      <c r="AD20" s="1" t="str">
        <f aca="false">IF(AC20&gt;0,"AIGUILLE_RECONSTITUTION","")</f>
        <v/>
      </c>
      <c r="AE20" s="27" t="n">
        <f aca="false">IF(AC20&gt;0,AC20*VLOOKUP(AD20,FACTEURS_ITEMS!$A$3:$J$30,4,FALSE()),0)</f>
        <v>0</v>
      </c>
      <c r="AF20" s="27" t="n">
        <f aca="false">IF(A20="","",AB20+AE20)</f>
        <v>0</v>
      </c>
      <c r="AG20" s="27" t="n">
        <f aca="false">IF(A20="","",S20+AF20)</f>
        <v>0.05600375</v>
      </c>
      <c r="AH20" s="1" t="str">
        <f aca="false">IF(A20="","",IF(AF20&gt;0,"ACV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21" customFormat="false" ht="27.75" hidden="false" customHeight="true" outlineLevel="0" collapsed="false">
      <c r="A21" s="31" t="s">
        <v>458</v>
      </c>
      <c r="B21" s="31" t="s">
        <v>461</v>
      </c>
      <c r="C21" s="31" t="s">
        <v>460</v>
      </c>
      <c r="D21" s="31" t="s">
        <v>458</v>
      </c>
      <c r="E21" s="31" t="n">
        <v>500</v>
      </c>
      <c r="F21" s="31"/>
      <c r="G21" s="31"/>
      <c r="H21" s="31"/>
      <c r="I21" s="31"/>
      <c r="J21" s="31" t="n">
        <f aca="false">IFERROR(SUM(E21,G21,I21)/1000,"")</f>
        <v>0.5</v>
      </c>
      <c r="K21" s="32" t="n">
        <f aca="false">$E$4</f>
        <v>100</v>
      </c>
      <c r="L21" s="31" t="n">
        <f aca="false">IF(J21="","",J21/1000*K21*(1+$E$5/100))</f>
        <v>0.0525</v>
      </c>
      <c r="M21" s="31" t="n">
        <f aca="false">IF(J21="","",J21/1000*$E$6)</f>
        <v>4.75E-005</v>
      </c>
      <c r="N21" s="32" t="n">
        <f aca="false">IF(C21="ampoule verre",$E$12,IF(C21="poche PEA",$E$13,$E$11))</f>
        <v>5</v>
      </c>
      <c r="O21" s="32" t="n">
        <f aca="false">IF(C21="ampoule verre",$E$8,IF(C21="poche PEA",$E$9,$E$7))</f>
        <v>5</v>
      </c>
      <c r="P21" s="31" t="n">
        <f aca="false">N21/1000*O21*(1+$E$5/100)</f>
        <v>0.02625</v>
      </c>
      <c r="Q21" s="32" t="n">
        <f aca="false">$E$14</f>
        <v>3</v>
      </c>
      <c r="R21" s="31" t="n">
        <f aca="false">Q21/1000*$E$10</f>
        <v>0.00348</v>
      </c>
      <c r="S21" s="31" t="n">
        <f aca="false">IF(J21="","",SUM(L21:M21,P21,R21))</f>
        <v>0.0822775</v>
      </c>
      <c r="T21" s="31" t="str">
        <f aca="false">IF(OR(J21="",K21=$E$4),"Élevé - FE PA générique",IF(W21&lt;&gt;"","À vérifier","Moyen"))</f>
        <v>Élevé - FE PA générique</v>
      </c>
      <c r="U21" s="31" t="s">
        <v>455</v>
      </c>
      <c r="V21" s="31" t="s">
        <v>456</v>
      </c>
      <c r="W21" s="31"/>
      <c r="X21" s="1" t="str">
        <f aca="false">IF(A21="","",IF(OR(ISNUMBER(SEARCH("poche",C21)),ISNUMBER(SEARCH("ampoule",C21)),ISNUMBER(SEARCH("plastique",C21))),"Prêt à être dilué / administré (hypothèse)","Reconstitution nécessaire (hypothèse)"))</f>
        <v>Prêt à être dilué / administré (hypothèse)</v>
      </c>
      <c r="Y21" s="1" t="str">
        <f aca="false">IF(A21="","",IF(ISNUMBER(SEARCH("Reconstitution",X21)),"Flacon/poudre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21" s="1" t="n">
        <f aca="false">IF(A21="","",IF(ISNUMBER(SEARCH("Reconstitution",X21)),1,0))</f>
        <v>0</v>
      </c>
      <c r="AA21" s="1" t="str">
        <f aca="false">IF(Z21&gt;0,"SERINGUE_PP_24ML","")</f>
        <v/>
      </c>
      <c r="AB21" s="27" t="n">
        <f aca="false">IF(Z21&gt;0,Z21*VLOOKUP(AA21,FACTEURS_ITEMS!$A$3:$J$30,4,FALSE()),0)</f>
        <v>0</v>
      </c>
      <c r="AC21" s="1" t="n">
        <f aca="false">IF(A21="","",IF(ISNUMBER(SEARCH("Reconstitution",X21)),1,0))</f>
        <v>0</v>
      </c>
      <c r="AD21" s="1" t="str">
        <f aca="false">IF(AC21&gt;0,"AIGUILLE_RECONSTITUTION","")</f>
        <v/>
      </c>
      <c r="AE21" s="27" t="n">
        <f aca="false">IF(AC21&gt;0,AC21*VLOOKUP(AD21,FACTEURS_ITEMS!$A$3:$J$30,4,FALSE()),0)</f>
        <v>0</v>
      </c>
      <c r="AF21" s="27" t="n">
        <f aca="false">IF(A21="","",AB21+AE21)</f>
        <v>0</v>
      </c>
      <c r="AG21" s="27" t="n">
        <f aca="false">IF(A21="","",S21+AF21)</f>
        <v>0.0822775</v>
      </c>
      <c r="AH21" s="1" t="str">
        <f aca="false">IF(A21="","",IF(AF21&gt;0,"ACV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22" customFormat="false" ht="27.75" hidden="false" customHeight="true" outlineLevel="0" collapsed="false">
      <c r="A22" s="31" t="s">
        <v>458</v>
      </c>
      <c r="B22" s="31" t="s">
        <v>462</v>
      </c>
      <c r="C22" s="31" t="s">
        <v>454</v>
      </c>
      <c r="D22" s="31" t="s">
        <v>458</v>
      </c>
      <c r="E22" s="31" t="n">
        <v>1000</v>
      </c>
      <c r="F22" s="31"/>
      <c r="G22" s="31"/>
      <c r="H22" s="31"/>
      <c r="I22" s="31"/>
      <c r="J22" s="31" t="n">
        <f aca="false">IFERROR(SUM(E22,G22,I22)/1000,"")</f>
        <v>1</v>
      </c>
      <c r="K22" s="32" t="n">
        <f aca="false">$E$4</f>
        <v>100</v>
      </c>
      <c r="L22" s="31" t="n">
        <f aca="false">IF(J22="","",J22/1000*K22*(1+$E$5/100))</f>
        <v>0.105</v>
      </c>
      <c r="M22" s="31" t="n">
        <f aca="false">IF(J22="","",J22/1000*$E$6)</f>
        <v>9.5E-005</v>
      </c>
      <c r="N22" s="32" t="n">
        <f aca="false">IF(C22="ampoule verre",$E$12,IF(C22="poche PEA",$E$13,$E$11))</f>
        <v>10</v>
      </c>
      <c r="O22" s="32" t="n">
        <f aca="false">IF(C22="ampoule verre",$E$8,IF(C22="poche PEA",$E$9,$E$7))</f>
        <v>7.1</v>
      </c>
      <c r="P22" s="31" t="n">
        <f aca="false">N22/1000*O22*(1+$E$5/100)</f>
        <v>0.07455</v>
      </c>
      <c r="Q22" s="32" t="n">
        <f aca="false">$E$14</f>
        <v>3</v>
      </c>
      <c r="R22" s="31" t="n">
        <f aca="false">Q22/1000*$E$10</f>
        <v>0.00348</v>
      </c>
      <c r="S22" s="31" t="n">
        <f aca="false">IF(J22="","",SUM(L22:M22,P22,R22))</f>
        <v>0.183125</v>
      </c>
      <c r="T22" s="31" t="str">
        <f aca="false">IF(OR(J22="",K22=$E$4),"Élevé - FE PA générique",IF(W22&lt;&gt;"","À vérifier","Moyen"))</f>
        <v>Élevé - FE PA générique</v>
      </c>
      <c r="U22" s="31" t="s">
        <v>455</v>
      </c>
      <c r="V22" s="31" t="s">
        <v>456</v>
      </c>
      <c r="W22" s="31"/>
      <c r="X22" s="1" t="str">
        <f aca="false">IF(A22="","",IF(OR(ISNUMBER(SEARCH("poche",C22)),ISNUMBER(SEARCH("ampoule",C22)),ISNUMBER(SEARCH("plastique",C22))),"Prêt à être dilué / administré (hypothèse)","Reconstitution nécessaire (hypothèse)"))</f>
        <v>Reconstitution nécessaire (hypothèse)</v>
      </c>
      <c r="Y22" s="1" t="str">
        <f aca="false">IF(A22="","",IF(ISNUMBER(SEARCH("Reconstitution",X22)),"Flacon/poudre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2" s="1" t="n">
        <f aca="false">IF(A22="","",IF(ISNUMBER(SEARCH("Reconstitution",X22)),1,0))</f>
        <v>1</v>
      </c>
      <c r="AA22" s="1" t="str">
        <f aca="false">IF(Z22&gt;0,"SERINGUE_PP_24ML","")</f>
        <v>SERINGUE_PP_24ML</v>
      </c>
      <c r="AB22" s="27" t="n">
        <f aca="false">IF(Z22&gt;0,Z22*VLOOKUP(AA22,FACTEURS_ITEMS!$A$3:$J$30,4,FALSE()),0)</f>
        <v>0.069</v>
      </c>
      <c r="AC22" s="1" t="n">
        <f aca="false">IF(A22="","",IF(ISNUMBER(SEARCH("Reconstitution",X22)),1,0))</f>
        <v>1</v>
      </c>
      <c r="AD22" s="1" t="str">
        <f aca="false">IF(AC22&gt;0,"AIGUILLE_RECONSTITUTION","")</f>
        <v>AIGUILLE_RECONSTITUTION</v>
      </c>
      <c r="AE22" s="27" t="n">
        <f aca="false">IF(AC22&gt;0,AC22*VLOOKUP(AD22,FACTEURS_ITEMS!$A$3:$J$30,4,FALSE()),0)</f>
        <v>0.01</v>
      </c>
      <c r="AF22" s="27" t="n">
        <f aca="false">IF(A22="","",AB22+AE22)</f>
        <v>0.079</v>
      </c>
      <c r="AG22" s="27" t="n">
        <f aca="false">IF(A22="","",S22+AF22)</f>
        <v>0.262125</v>
      </c>
      <c r="AH22" s="1" t="str">
        <f aca="false">IF(A22="","",IF(AF22&gt;0,"ACV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3" customFormat="false" ht="27.75" hidden="false" customHeight="true" outlineLevel="0" collapsed="false">
      <c r="A23" s="31" t="s">
        <v>463</v>
      </c>
      <c r="B23" s="31" t="s">
        <v>464</v>
      </c>
      <c r="C23" s="31" t="s">
        <v>454</v>
      </c>
      <c r="D23" s="31" t="s">
        <v>463</v>
      </c>
      <c r="E23" s="31" t="n">
        <v>1000</v>
      </c>
      <c r="F23" s="31"/>
      <c r="G23" s="31"/>
      <c r="H23" s="31"/>
      <c r="I23" s="31"/>
      <c r="J23" s="31" t="n">
        <f aca="false">IFERROR(SUM(E23,G23,I23)/1000,"")</f>
        <v>1</v>
      </c>
      <c r="K23" s="32" t="n">
        <f aca="false">$E$4</f>
        <v>100</v>
      </c>
      <c r="L23" s="31" t="n">
        <f aca="false">IF(J23="","",J23/1000*K23*(1+$E$5/100))</f>
        <v>0.105</v>
      </c>
      <c r="M23" s="31" t="n">
        <f aca="false">IF(J23="","",J23/1000*$E$6)</f>
        <v>9.5E-005</v>
      </c>
      <c r="N23" s="32" t="n">
        <f aca="false">IF(C23="ampoule verre",$E$12,IF(C23="poche PEA",$E$13,$E$11))</f>
        <v>10</v>
      </c>
      <c r="O23" s="32" t="n">
        <f aca="false">IF(C23="ampoule verre",$E$8,IF(C23="poche PEA",$E$9,$E$7))</f>
        <v>7.1</v>
      </c>
      <c r="P23" s="31" t="n">
        <f aca="false">N23/1000*O23*(1+$E$5/100)</f>
        <v>0.07455</v>
      </c>
      <c r="Q23" s="32" t="n">
        <f aca="false">$E$14</f>
        <v>3</v>
      </c>
      <c r="R23" s="31" t="n">
        <f aca="false">Q23/1000*$E$10</f>
        <v>0.00348</v>
      </c>
      <c r="S23" s="31" t="n">
        <f aca="false">IF(J23="","",SUM(L23:M23,P23,R23))</f>
        <v>0.183125</v>
      </c>
      <c r="T23" s="31" t="str">
        <f aca="false">IF(OR(J23="",K23=$E$4),"Élevé - FE PA générique",IF(W23&lt;&gt;"","À vérifier","Moyen"))</f>
        <v>Élevé - FE PA générique</v>
      </c>
      <c r="U23" s="31" t="s">
        <v>455</v>
      </c>
      <c r="V23" s="31" t="s">
        <v>456</v>
      </c>
      <c r="W23" s="31"/>
      <c r="X23" s="1" t="str">
        <f aca="false">IF(A23="","",IF(OR(ISNUMBER(SEARCH("poche",C23)),ISNUMBER(SEARCH("ampoule",C23)),ISNUMBER(SEARCH("plastique",C23))),"Prêt à être dilué / administré (hypothèse)","Reconstitution nécessaire (hypothèse)"))</f>
        <v>Reconstitution nécessaire (hypothèse)</v>
      </c>
      <c r="Y23" s="1" t="str">
        <f aca="false">IF(A23="","",IF(ISNUMBER(SEARCH("Reconstitution",X23)),"Flacon/poudre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3" s="1" t="n">
        <f aca="false">IF(A23="","",IF(ISNUMBER(SEARCH("Reconstitution",X23)),1,0))</f>
        <v>1</v>
      </c>
      <c r="AA23" s="1" t="str">
        <f aca="false">IF(Z23&gt;0,"SERINGUE_PP_24ML","")</f>
        <v>SERINGUE_PP_24ML</v>
      </c>
      <c r="AB23" s="27" t="n">
        <f aca="false">IF(Z23&gt;0,Z23*VLOOKUP(AA23,FACTEURS_ITEMS!$A$3:$J$30,4,FALSE()),0)</f>
        <v>0.069</v>
      </c>
      <c r="AC23" s="1" t="n">
        <f aca="false">IF(A23="","",IF(ISNUMBER(SEARCH("Reconstitution",X23)),1,0))</f>
        <v>1</v>
      </c>
      <c r="AD23" s="1" t="str">
        <f aca="false">IF(AC23&gt;0,"AIGUILLE_RECONSTITUTION","")</f>
        <v>AIGUILLE_RECONSTITUTION</v>
      </c>
      <c r="AE23" s="27" t="n">
        <f aca="false">IF(AC23&gt;0,AC23*VLOOKUP(AD23,FACTEURS_ITEMS!$A$3:$J$30,4,FALSE()),0)</f>
        <v>0.01</v>
      </c>
      <c r="AF23" s="27" t="n">
        <f aca="false">IF(A23="","",AB23+AE23)</f>
        <v>0.079</v>
      </c>
      <c r="AG23" s="27" t="n">
        <f aca="false">IF(A23="","",S23+AF23)</f>
        <v>0.262125</v>
      </c>
      <c r="AH23" s="1" t="str">
        <f aca="false">IF(A23="","",IF(AF23&gt;0,"ACV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4" customFormat="false" ht="27.75" hidden="false" customHeight="true" outlineLevel="0" collapsed="false">
      <c r="A24" s="31" t="s">
        <v>463</v>
      </c>
      <c r="B24" s="31" t="s">
        <v>465</v>
      </c>
      <c r="C24" s="31" t="s">
        <v>454</v>
      </c>
      <c r="D24" s="31" t="s">
        <v>463</v>
      </c>
      <c r="E24" s="31" t="n">
        <v>2000</v>
      </c>
      <c r="F24" s="31"/>
      <c r="G24" s="31"/>
      <c r="H24" s="31"/>
      <c r="I24" s="31"/>
      <c r="J24" s="31" t="n">
        <f aca="false">IFERROR(SUM(E24,G24,I24)/1000,"")</f>
        <v>2</v>
      </c>
      <c r="K24" s="32" t="n">
        <f aca="false">$E$4</f>
        <v>100</v>
      </c>
      <c r="L24" s="31" t="n">
        <f aca="false">IF(J24="","",J24/1000*K24*(1+$E$5/100))</f>
        <v>0.21</v>
      </c>
      <c r="M24" s="31" t="n">
        <f aca="false">IF(J24="","",J24/1000*$E$6)</f>
        <v>0.00019</v>
      </c>
      <c r="N24" s="32" t="n">
        <f aca="false">IF(C24="ampoule verre",$E$12,IF(C24="poche PEA",$E$13,$E$11))</f>
        <v>10</v>
      </c>
      <c r="O24" s="32" t="n">
        <f aca="false">IF(C24="ampoule verre",$E$8,IF(C24="poche PEA",$E$9,$E$7))</f>
        <v>7.1</v>
      </c>
      <c r="P24" s="31" t="n">
        <f aca="false">N24/1000*O24*(1+$E$5/100)</f>
        <v>0.07455</v>
      </c>
      <c r="Q24" s="32" t="n">
        <f aca="false">$E$14</f>
        <v>3</v>
      </c>
      <c r="R24" s="31" t="n">
        <f aca="false">Q24/1000*$E$10</f>
        <v>0.00348</v>
      </c>
      <c r="S24" s="31" t="n">
        <f aca="false">IF(J24="","",SUM(L24:M24,P24,R24))</f>
        <v>0.28822</v>
      </c>
      <c r="T24" s="31" t="str">
        <f aca="false">IF(OR(J24="",K24=$E$4),"Élevé - FE PA générique",IF(W24&lt;&gt;"","À vérifier","Moyen"))</f>
        <v>Élevé - FE PA générique</v>
      </c>
      <c r="U24" s="31" t="s">
        <v>455</v>
      </c>
      <c r="V24" s="31" t="s">
        <v>456</v>
      </c>
      <c r="W24" s="31"/>
      <c r="X24" s="1" t="str">
        <f aca="false">IF(A24="","",IF(OR(ISNUMBER(SEARCH("poche",C24)),ISNUMBER(SEARCH("ampoule",C24)),ISNUMBER(SEARCH("plastique",C24))),"Prêt à être dilué / administré (hypothèse)","Reconstitution nécessaire (hypothèse)"))</f>
        <v>Reconstitution nécessaire (hypothèse)</v>
      </c>
      <c r="Y24" s="1" t="str">
        <f aca="false">IF(A24="","",IF(ISNUMBER(SEARCH("Reconstitution",X24)),"Flacon/poudre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4" s="1" t="n">
        <f aca="false">IF(A24="","",IF(ISNUMBER(SEARCH("Reconstitution",X24)),1,0))</f>
        <v>1</v>
      </c>
      <c r="AA24" s="1" t="str">
        <f aca="false">IF(Z24&gt;0,"SERINGUE_PP_24ML","")</f>
        <v>SERINGUE_PP_24ML</v>
      </c>
      <c r="AB24" s="27" t="n">
        <f aca="false">IF(Z24&gt;0,Z24*VLOOKUP(AA24,FACTEURS_ITEMS!$A$3:$J$30,4,FALSE()),0)</f>
        <v>0.069</v>
      </c>
      <c r="AC24" s="1" t="n">
        <f aca="false">IF(A24="","",IF(ISNUMBER(SEARCH("Reconstitution",X24)),1,0))</f>
        <v>1</v>
      </c>
      <c r="AD24" s="1" t="str">
        <f aca="false">IF(AC24&gt;0,"AIGUILLE_RECONSTITUTION","")</f>
        <v>AIGUILLE_RECONSTITUTION</v>
      </c>
      <c r="AE24" s="27" t="n">
        <f aca="false">IF(AC24&gt;0,AC24*VLOOKUP(AD24,FACTEURS_ITEMS!$A$3:$J$30,4,FALSE()),0)</f>
        <v>0.01</v>
      </c>
      <c r="AF24" s="27" t="n">
        <f aca="false">IF(A24="","",AB24+AE24)</f>
        <v>0.079</v>
      </c>
      <c r="AG24" s="27" t="n">
        <f aca="false">IF(A24="","",S24+AF24)</f>
        <v>0.36722</v>
      </c>
      <c r="AH24" s="1" t="str">
        <f aca="false">IF(A24="","",IF(AF24&gt;0,"ACV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5" customFormat="false" ht="27.75" hidden="false" customHeight="true" outlineLevel="0" collapsed="false">
      <c r="A25" s="31" t="s">
        <v>466</v>
      </c>
      <c r="B25" s="31" t="s">
        <v>467</v>
      </c>
      <c r="C25" s="31" t="s">
        <v>454</v>
      </c>
      <c r="D25" s="31" t="s">
        <v>463</v>
      </c>
      <c r="E25" s="31" t="n">
        <v>1000</v>
      </c>
      <c r="F25" s="31" t="s">
        <v>468</v>
      </c>
      <c r="G25" s="31" t="n">
        <v>200</v>
      </c>
      <c r="H25" s="31"/>
      <c r="I25" s="31"/>
      <c r="J25" s="31" t="n">
        <f aca="false">IFERROR(SUM(E25,G25,I25)/1000,"")</f>
        <v>1.2</v>
      </c>
      <c r="K25" s="32" t="n">
        <f aca="false">$E$4</f>
        <v>100</v>
      </c>
      <c r="L25" s="31" t="n">
        <f aca="false">IF(J25="","",J25/1000*K25*(1+$E$5/100))</f>
        <v>0.126</v>
      </c>
      <c r="M25" s="31" t="n">
        <f aca="false">IF(J25="","",J25/1000*$E$6)</f>
        <v>0.000114</v>
      </c>
      <c r="N25" s="32" t="n">
        <f aca="false">IF(C25="ampoule verre",$E$12,IF(C25="poche PEA",$E$13,$E$11))</f>
        <v>10</v>
      </c>
      <c r="O25" s="32" t="n">
        <f aca="false">IF(C25="ampoule verre",$E$8,IF(C25="poche PEA",$E$9,$E$7))</f>
        <v>7.1</v>
      </c>
      <c r="P25" s="31" t="n">
        <f aca="false">N25/1000*O25*(1+$E$5/100)</f>
        <v>0.07455</v>
      </c>
      <c r="Q25" s="32" t="n">
        <f aca="false">$E$14</f>
        <v>3</v>
      </c>
      <c r="R25" s="31" t="n">
        <f aca="false">Q25/1000*$E$10</f>
        <v>0.00348</v>
      </c>
      <c r="S25" s="31" t="n">
        <f aca="false">IF(J25="","",SUM(L25:M25,P25,R25))</f>
        <v>0.204144</v>
      </c>
      <c r="T25" s="31" t="str">
        <f aca="false">IF(OR(J25="",K25=$E$4),"Élevé - FE PA générique",IF(W25&lt;&gt;"","À vérifier","Moyen"))</f>
        <v>Élevé - FE PA générique</v>
      </c>
      <c r="U25" s="31" t="s">
        <v>455</v>
      </c>
      <c r="V25" s="31" t="s">
        <v>456</v>
      </c>
      <c r="W25" s="31"/>
      <c r="X25" s="1" t="str">
        <f aca="false">IF(A25="","",IF(OR(ISNUMBER(SEARCH("poche",C25)),ISNUMBER(SEARCH("ampoule",C25)),ISNUMBER(SEARCH("plastique",C25))),"Prêt à être dilué / administré (hypothèse)","Reconstitution nécessaire (hypothèse)"))</f>
        <v>Reconstitution nécessaire (hypothèse)</v>
      </c>
      <c r="Y25" s="1" t="str">
        <f aca="false">IF(A25="","",IF(ISNUMBER(SEARCH("Reconstitution",X25)),"Flacon/poudre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5" s="1" t="n">
        <f aca="false">IF(A25="","",IF(ISNUMBER(SEARCH("Reconstitution",X25)),1,0))</f>
        <v>1</v>
      </c>
      <c r="AA25" s="1" t="str">
        <f aca="false">IF(Z25&gt;0,"SERINGUE_PP_24ML","")</f>
        <v>SERINGUE_PP_24ML</v>
      </c>
      <c r="AB25" s="27" t="n">
        <f aca="false">IF(Z25&gt;0,Z25*VLOOKUP(AA25,FACTEURS_ITEMS!$A$3:$J$30,4,FALSE()),0)</f>
        <v>0.069</v>
      </c>
      <c r="AC25" s="1" t="n">
        <f aca="false">IF(A25="","",IF(ISNUMBER(SEARCH("Reconstitution",X25)),1,0))</f>
        <v>1</v>
      </c>
      <c r="AD25" s="1" t="str">
        <f aca="false">IF(AC25&gt;0,"AIGUILLE_RECONSTITUTION","")</f>
        <v>AIGUILLE_RECONSTITUTION</v>
      </c>
      <c r="AE25" s="27" t="n">
        <f aca="false">IF(AC25&gt;0,AC25*VLOOKUP(AD25,FACTEURS_ITEMS!$A$3:$J$30,4,FALSE()),0)</f>
        <v>0.01</v>
      </c>
      <c r="AF25" s="27" t="n">
        <f aca="false">IF(A25="","",AB25+AE25)</f>
        <v>0.079</v>
      </c>
      <c r="AG25" s="27" t="n">
        <f aca="false">IF(A25="","",S25+AF25)</f>
        <v>0.283144</v>
      </c>
      <c r="AH25" s="1" t="str">
        <f aca="false">IF(A25="","",IF(AF25&gt;0,"ACV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6" customFormat="false" ht="27.75" hidden="false" customHeight="true" outlineLevel="0" collapsed="false">
      <c r="A26" s="31" t="s">
        <v>466</v>
      </c>
      <c r="B26" s="31" t="s">
        <v>469</v>
      </c>
      <c r="C26" s="31" t="s">
        <v>454</v>
      </c>
      <c r="D26" s="31" t="s">
        <v>463</v>
      </c>
      <c r="E26" s="31" t="n">
        <v>2000</v>
      </c>
      <c r="F26" s="31" t="s">
        <v>468</v>
      </c>
      <c r="G26" s="31" t="n">
        <v>200</v>
      </c>
      <c r="H26" s="31"/>
      <c r="I26" s="31"/>
      <c r="J26" s="31" t="n">
        <f aca="false">IFERROR(SUM(E26,G26,I26)/1000,"")</f>
        <v>2.2</v>
      </c>
      <c r="K26" s="32" t="n">
        <f aca="false">$E$4</f>
        <v>100</v>
      </c>
      <c r="L26" s="31" t="n">
        <f aca="false">IF(J26="","",J26/1000*K26*(1+$E$5/100))</f>
        <v>0.231</v>
      </c>
      <c r="M26" s="31" t="n">
        <f aca="false">IF(J26="","",J26/1000*$E$6)</f>
        <v>0.000209</v>
      </c>
      <c r="N26" s="32" t="n">
        <f aca="false">IF(C26="ampoule verre",$E$12,IF(C26="poche PEA",$E$13,$E$11))</f>
        <v>10</v>
      </c>
      <c r="O26" s="32" t="n">
        <f aca="false">IF(C26="ampoule verre",$E$8,IF(C26="poche PEA",$E$9,$E$7))</f>
        <v>7.1</v>
      </c>
      <c r="P26" s="31" t="n">
        <f aca="false">N26/1000*O26*(1+$E$5/100)</f>
        <v>0.07455</v>
      </c>
      <c r="Q26" s="32" t="n">
        <f aca="false">$E$14</f>
        <v>3</v>
      </c>
      <c r="R26" s="31" t="n">
        <f aca="false">Q26/1000*$E$10</f>
        <v>0.00348</v>
      </c>
      <c r="S26" s="31" t="n">
        <f aca="false">IF(J26="","",SUM(L26:M26,P26,R26))</f>
        <v>0.309239</v>
      </c>
      <c r="T26" s="31" t="str">
        <f aca="false">IF(OR(J26="",K26=$E$4),"Élevé - FE PA générique",IF(W26&lt;&gt;"","À vérifier","Moyen"))</f>
        <v>Élevé - FE PA générique</v>
      </c>
      <c r="U26" s="31" t="s">
        <v>455</v>
      </c>
      <c r="V26" s="31" t="s">
        <v>456</v>
      </c>
      <c r="W26" s="31"/>
      <c r="X26" s="1" t="str">
        <f aca="false">IF(A26="","",IF(OR(ISNUMBER(SEARCH("poche",C26)),ISNUMBER(SEARCH("ampoule",C26)),ISNUMBER(SEARCH("plastique",C26))),"Prêt à être dilué / administré (hypothèse)","Reconstitution nécessaire (hypothèse)"))</f>
        <v>Reconstitution nécessaire (hypothèse)</v>
      </c>
      <c r="Y26" s="1" t="str">
        <f aca="false">IF(A26="","",IF(ISNUMBER(SEARCH("Reconstitution",X26)),"Flacon/poudre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6" s="1" t="n">
        <f aca="false">IF(A26="","",IF(ISNUMBER(SEARCH("Reconstitution",X26)),1,0))</f>
        <v>1</v>
      </c>
      <c r="AA26" s="1" t="str">
        <f aca="false">IF(Z26&gt;0,"SERINGUE_PP_24ML","")</f>
        <v>SERINGUE_PP_24ML</v>
      </c>
      <c r="AB26" s="27" t="n">
        <f aca="false">IF(Z26&gt;0,Z26*VLOOKUP(AA26,FACTEURS_ITEMS!$A$3:$J$30,4,FALSE()),0)</f>
        <v>0.069</v>
      </c>
      <c r="AC26" s="1" t="n">
        <f aca="false">IF(A26="","",IF(ISNUMBER(SEARCH("Reconstitution",X26)),1,0))</f>
        <v>1</v>
      </c>
      <c r="AD26" s="1" t="str">
        <f aca="false">IF(AC26&gt;0,"AIGUILLE_RECONSTITUTION","")</f>
        <v>AIGUILLE_RECONSTITUTION</v>
      </c>
      <c r="AE26" s="27" t="n">
        <f aca="false">IF(AC26&gt;0,AC26*VLOOKUP(AD26,FACTEURS_ITEMS!$A$3:$J$30,4,FALSE()),0)</f>
        <v>0.01</v>
      </c>
      <c r="AF26" s="27" t="n">
        <f aca="false">IF(A26="","",AB26+AE26)</f>
        <v>0.079</v>
      </c>
      <c r="AG26" s="27" t="n">
        <f aca="false">IF(A26="","",S26+AF26)</f>
        <v>0.388239</v>
      </c>
      <c r="AH26" s="1" t="str">
        <f aca="false">IF(A26="","",IF(AF26&gt;0,"ACV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7" customFormat="false" ht="27.75" hidden="false" customHeight="true" outlineLevel="0" collapsed="false">
      <c r="A27" s="31" t="s">
        <v>470</v>
      </c>
      <c r="B27" s="31" t="s">
        <v>464</v>
      </c>
      <c r="C27" s="31" t="s">
        <v>454</v>
      </c>
      <c r="D27" s="31" t="s">
        <v>470</v>
      </c>
      <c r="E27" s="31" t="n">
        <v>1000</v>
      </c>
      <c r="F27" s="31"/>
      <c r="G27" s="31"/>
      <c r="H27" s="31"/>
      <c r="I27" s="31"/>
      <c r="J27" s="31" t="n">
        <f aca="false">IFERROR(SUM(E27,G27,I27)/1000,"")</f>
        <v>1</v>
      </c>
      <c r="K27" s="32" t="n">
        <f aca="false">$E$4</f>
        <v>100</v>
      </c>
      <c r="L27" s="31" t="n">
        <f aca="false">IF(J27="","",J27/1000*K27*(1+$E$5/100))</f>
        <v>0.105</v>
      </c>
      <c r="M27" s="31" t="n">
        <f aca="false">IF(J27="","",J27/1000*$E$6)</f>
        <v>9.5E-005</v>
      </c>
      <c r="N27" s="32" t="n">
        <f aca="false">IF(C27="ampoule verre",$E$12,IF(C27="poche PEA",$E$13,$E$11))</f>
        <v>10</v>
      </c>
      <c r="O27" s="32" t="n">
        <f aca="false">IF(C27="ampoule verre",$E$8,IF(C27="poche PEA",$E$9,$E$7))</f>
        <v>7.1</v>
      </c>
      <c r="P27" s="31" t="n">
        <f aca="false">N27/1000*O27*(1+$E$5/100)</f>
        <v>0.07455</v>
      </c>
      <c r="Q27" s="32" t="n">
        <f aca="false">$E$14</f>
        <v>3</v>
      </c>
      <c r="R27" s="31" t="n">
        <f aca="false">Q27/1000*$E$10</f>
        <v>0.00348</v>
      </c>
      <c r="S27" s="31" t="n">
        <f aca="false">IF(J27="","",SUM(L27:M27,P27,R27))</f>
        <v>0.183125</v>
      </c>
      <c r="T27" s="31" t="str">
        <f aca="false">IF(OR(J27="",K27=$E$4),"Élevé - FE PA générique",IF(W27&lt;&gt;"","À vérifier","Moyen"))</f>
        <v>Élevé - FE PA générique</v>
      </c>
      <c r="U27" s="31" t="s">
        <v>471</v>
      </c>
      <c r="V27" s="31" t="s">
        <v>456</v>
      </c>
      <c r="W27" s="31"/>
      <c r="X27" s="1" t="str">
        <f aca="false">IF(A27="","",IF(OR(ISNUMBER(SEARCH("poche",C27)),ISNUMBER(SEARCH("ampoule",C27)),ISNUMBER(SEARCH("plastique",C27))),"Prêt à être dilué / administré (hypothèse)","Reconstitution nécessaire (hypothèse)"))</f>
        <v>Reconstitution nécessaire (hypothèse)</v>
      </c>
      <c r="Y27" s="1" t="str">
        <f aca="false">IF(A27="","",IF(ISNUMBER(SEARCH("Reconstitution",X27)),"Flacon/poudre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7" s="1" t="n">
        <f aca="false">IF(A27="","",IF(ISNUMBER(SEARCH("Reconstitution",X27)),1,0))</f>
        <v>1</v>
      </c>
      <c r="AA27" s="1" t="str">
        <f aca="false">IF(Z27&gt;0,"SERINGUE_PP_24ML","")</f>
        <v>SERINGUE_PP_24ML</v>
      </c>
      <c r="AB27" s="27" t="n">
        <f aca="false">IF(Z27&gt;0,Z27*VLOOKUP(AA27,FACTEURS_ITEMS!$A$3:$J$30,4,FALSE()),0)</f>
        <v>0.069</v>
      </c>
      <c r="AC27" s="1" t="n">
        <f aca="false">IF(A27="","",IF(ISNUMBER(SEARCH("Reconstitution",X27)),1,0))</f>
        <v>1</v>
      </c>
      <c r="AD27" s="1" t="str">
        <f aca="false">IF(AC27&gt;0,"AIGUILLE_RECONSTITUTION","")</f>
        <v>AIGUILLE_RECONSTITUTION</v>
      </c>
      <c r="AE27" s="27" t="n">
        <f aca="false">IF(AC27&gt;0,AC27*VLOOKUP(AD27,FACTEURS_ITEMS!$A$3:$J$30,4,FALSE()),0)</f>
        <v>0.01</v>
      </c>
      <c r="AF27" s="27" t="n">
        <f aca="false">IF(A27="","",AB27+AE27)</f>
        <v>0.079</v>
      </c>
      <c r="AG27" s="27" t="n">
        <f aca="false">IF(A27="","",S27+AF27)</f>
        <v>0.262125</v>
      </c>
      <c r="AH27" s="1" t="str">
        <f aca="false">IF(A27="","",IF(AF27&gt;0,"ACV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8" customFormat="false" ht="27.75" hidden="false" customHeight="true" outlineLevel="0" collapsed="false">
      <c r="A28" s="31" t="s">
        <v>470</v>
      </c>
      <c r="B28" s="31" t="s">
        <v>465</v>
      </c>
      <c r="C28" s="31" t="s">
        <v>454</v>
      </c>
      <c r="D28" s="31" t="s">
        <v>470</v>
      </c>
      <c r="E28" s="31" t="n">
        <v>2000</v>
      </c>
      <c r="F28" s="31"/>
      <c r="G28" s="31"/>
      <c r="H28" s="31"/>
      <c r="I28" s="31"/>
      <c r="J28" s="31" t="n">
        <f aca="false">IFERROR(SUM(E28,G28,I28)/1000,"")</f>
        <v>2</v>
      </c>
      <c r="K28" s="32" t="n">
        <f aca="false">$E$4</f>
        <v>100</v>
      </c>
      <c r="L28" s="31" t="n">
        <f aca="false">IF(J28="","",J28/1000*K28*(1+$E$5/100))</f>
        <v>0.21</v>
      </c>
      <c r="M28" s="31" t="n">
        <f aca="false">IF(J28="","",J28/1000*$E$6)</f>
        <v>0.00019</v>
      </c>
      <c r="N28" s="32" t="n">
        <f aca="false">IF(C28="ampoule verre",$E$12,IF(C28="poche PEA",$E$13,$E$11))</f>
        <v>10</v>
      </c>
      <c r="O28" s="32" t="n">
        <f aca="false">IF(C28="ampoule verre",$E$8,IF(C28="poche PEA",$E$9,$E$7))</f>
        <v>7.1</v>
      </c>
      <c r="P28" s="31" t="n">
        <f aca="false">N28/1000*O28*(1+$E$5/100)</f>
        <v>0.07455</v>
      </c>
      <c r="Q28" s="32" t="n">
        <f aca="false">$E$14</f>
        <v>3</v>
      </c>
      <c r="R28" s="31" t="n">
        <f aca="false">Q28/1000*$E$10</f>
        <v>0.00348</v>
      </c>
      <c r="S28" s="31" t="n">
        <f aca="false">IF(J28="","",SUM(L28:M28,P28,R28))</f>
        <v>0.28822</v>
      </c>
      <c r="T28" s="31" t="str">
        <f aca="false">IF(OR(J28="",K28=$E$4),"Élevé - FE PA générique",IF(W28&lt;&gt;"","À vérifier","Moyen"))</f>
        <v>Élevé - FE PA générique</v>
      </c>
      <c r="U28" s="31" t="s">
        <v>471</v>
      </c>
      <c r="V28" s="31" t="s">
        <v>456</v>
      </c>
      <c r="W28" s="31"/>
      <c r="X28" s="1" t="str">
        <f aca="false">IF(A28="","",IF(OR(ISNUMBER(SEARCH("poche",C28)),ISNUMBER(SEARCH("ampoule",C28)),ISNUMBER(SEARCH("plastique",C28))),"Prêt à être dilué / administré (hypothèse)","Reconstitution nécessaire (hypothèse)"))</f>
        <v>Reconstitution nécessaire (hypothèse)</v>
      </c>
      <c r="Y28" s="1" t="str">
        <f aca="false">IF(A28="","",IF(ISNUMBER(SEARCH("Reconstitution",X28)),"Flacon/poudre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8" s="1" t="n">
        <f aca="false">IF(A28="","",IF(ISNUMBER(SEARCH("Reconstitution",X28)),1,0))</f>
        <v>1</v>
      </c>
      <c r="AA28" s="1" t="str">
        <f aca="false">IF(Z28&gt;0,"SERINGUE_PP_24ML","")</f>
        <v>SERINGUE_PP_24ML</v>
      </c>
      <c r="AB28" s="27" t="n">
        <f aca="false">IF(Z28&gt;0,Z28*VLOOKUP(AA28,FACTEURS_ITEMS!$A$3:$J$30,4,FALSE()),0)</f>
        <v>0.069</v>
      </c>
      <c r="AC28" s="1" t="n">
        <f aca="false">IF(A28="","",IF(ISNUMBER(SEARCH("Reconstitution",X28)),1,0))</f>
        <v>1</v>
      </c>
      <c r="AD28" s="1" t="str">
        <f aca="false">IF(AC28&gt;0,"AIGUILLE_RECONSTITUTION","")</f>
        <v>AIGUILLE_RECONSTITUTION</v>
      </c>
      <c r="AE28" s="27" t="n">
        <f aca="false">IF(AC28&gt;0,AC28*VLOOKUP(AD28,FACTEURS_ITEMS!$A$3:$J$30,4,FALSE()),0)</f>
        <v>0.01</v>
      </c>
      <c r="AF28" s="27" t="n">
        <f aca="false">IF(A28="","",AB28+AE28)</f>
        <v>0.079</v>
      </c>
      <c r="AG28" s="27" t="n">
        <f aca="false">IF(A28="","",S28+AF28)</f>
        <v>0.36722</v>
      </c>
      <c r="AH28" s="1" t="str">
        <f aca="false">IF(A28="","",IF(AF28&gt;0,"ACV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29" customFormat="false" ht="27.75" hidden="false" customHeight="true" outlineLevel="0" collapsed="false">
      <c r="A29" s="31" t="s">
        <v>472</v>
      </c>
      <c r="B29" s="31" t="s">
        <v>473</v>
      </c>
      <c r="C29" s="31" t="s">
        <v>454</v>
      </c>
      <c r="D29" s="31" t="s">
        <v>474</v>
      </c>
      <c r="E29" s="31" t="n">
        <v>60</v>
      </c>
      <c r="F29" s="31"/>
      <c r="G29" s="31"/>
      <c r="H29" s="31"/>
      <c r="I29" s="31"/>
      <c r="J29" s="31" t="n">
        <f aca="false">IFERROR(SUM(E29,G29,I29)/1000,"")</f>
        <v>0.06</v>
      </c>
      <c r="K29" s="32" t="n">
        <f aca="false">$E$4</f>
        <v>100</v>
      </c>
      <c r="L29" s="31" t="n">
        <f aca="false">IF(J29="","",J29/1000*K29*(1+$E$5/100))</f>
        <v>0.0063</v>
      </c>
      <c r="M29" s="31" t="n">
        <f aca="false">IF(J29="","",J29/1000*$E$6)</f>
        <v>5.7E-006</v>
      </c>
      <c r="N29" s="32" t="n">
        <f aca="false">IF(C29="ampoule verre",$E$12,IF(C29="poche PEA",$E$13,$E$11))</f>
        <v>10</v>
      </c>
      <c r="O29" s="32" t="n">
        <f aca="false">IF(C29="ampoule verre",$E$8,IF(C29="poche PEA",$E$9,$E$7))</f>
        <v>7.1</v>
      </c>
      <c r="P29" s="31" t="n">
        <f aca="false">N29/1000*O29*(1+$E$5/100)</f>
        <v>0.07455</v>
      </c>
      <c r="Q29" s="32" t="n">
        <f aca="false">$E$14</f>
        <v>3</v>
      </c>
      <c r="R29" s="31" t="n">
        <f aca="false">Q29/1000*$E$10</f>
        <v>0.00348</v>
      </c>
      <c r="S29" s="31" t="n">
        <f aca="false">IF(J29="","",SUM(L29:M29,P29,R29))</f>
        <v>0.0843357</v>
      </c>
      <c r="T29" s="31" t="str">
        <f aca="false">IF(OR(J29="",K29=$E$4),"Élevé - FE PA générique",IF(W29&lt;&gt;"","À vérifier","Moyen"))</f>
        <v>Élevé - FE PA générique</v>
      </c>
      <c r="U29" s="31" t="s">
        <v>455</v>
      </c>
      <c r="V29" s="31" t="s">
        <v>456</v>
      </c>
      <c r="W29" s="31"/>
      <c r="X29" s="1" t="str">
        <f aca="false">IF(A29="","",IF(OR(ISNUMBER(SEARCH("poche",C29)),ISNUMBER(SEARCH("ampoule",C29)),ISNUMBER(SEARCH("plastique",C29))),"Prêt à être dilué / administré (hypothèse)","Reconstitution nécessaire (hypothèse)"))</f>
        <v>Reconstitution nécessaire (hypothèse)</v>
      </c>
      <c r="Y29" s="1" t="str">
        <f aca="false">IF(A29="","",IF(ISNUMBER(SEARCH("Reconstitution",X29)),"Flacon/poudre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29" s="1" t="n">
        <f aca="false">IF(A29="","",IF(ISNUMBER(SEARCH("Reconstitution",X29)),1,0))</f>
        <v>1</v>
      </c>
      <c r="AA29" s="1" t="str">
        <f aca="false">IF(Z29&gt;0,"SERINGUE_PP_24ML","")</f>
        <v>SERINGUE_PP_24ML</v>
      </c>
      <c r="AB29" s="27" t="n">
        <f aca="false">IF(Z29&gt;0,Z29*VLOOKUP(AA29,FACTEURS_ITEMS!$A$3:$J$30,4,FALSE()),0)</f>
        <v>0.069</v>
      </c>
      <c r="AC29" s="1" t="n">
        <f aca="false">IF(A29="","",IF(ISNUMBER(SEARCH("Reconstitution",X29)),1,0))</f>
        <v>1</v>
      </c>
      <c r="AD29" s="1" t="str">
        <f aca="false">IF(AC29&gt;0,"AIGUILLE_RECONSTITUTION","")</f>
        <v>AIGUILLE_RECONSTITUTION</v>
      </c>
      <c r="AE29" s="27" t="n">
        <f aca="false">IF(AC29&gt;0,AC29*VLOOKUP(AD29,FACTEURS_ITEMS!$A$3:$J$30,4,FALSE()),0)</f>
        <v>0.01</v>
      </c>
      <c r="AF29" s="27" t="n">
        <f aca="false">IF(A29="","",AB29+AE29)</f>
        <v>0.079</v>
      </c>
      <c r="AG29" s="27" t="n">
        <f aca="false">IF(A29="","",S29+AF29)</f>
        <v>0.1633357</v>
      </c>
      <c r="AH29" s="1" t="str">
        <f aca="false">IF(A29="","",IF(AF29&gt;0,"ACV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0" customFormat="false" ht="27.75" hidden="false" customHeight="true" outlineLevel="0" collapsed="false">
      <c r="A30" s="31" t="s">
        <v>475</v>
      </c>
      <c r="B30" s="31" t="s">
        <v>464</v>
      </c>
      <c r="C30" s="31" t="s">
        <v>454</v>
      </c>
      <c r="D30" s="31" t="s">
        <v>475</v>
      </c>
      <c r="E30" s="31" t="n">
        <v>1000</v>
      </c>
      <c r="F30" s="31"/>
      <c r="G30" s="31"/>
      <c r="H30" s="31"/>
      <c r="I30" s="31"/>
      <c r="J30" s="31" t="n">
        <f aca="false">IFERROR(SUM(E30,G30,I30)/1000,"")</f>
        <v>1</v>
      </c>
      <c r="K30" s="32" t="n">
        <f aca="false">$E$4</f>
        <v>100</v>
      </c>
      <c r="L30" s="31" t="n">
        <f aca="false">IF(J30="","",J30/1000*K30*(1+$E$5/100))</f>
        <v>0.105</v>
      </c>
      <c r="M30" s="31" t="n">
        <f aca="false">IF(J30="","",J30/1000*$E$6)</f>
        <v>9.5E-005</v>
      </c>
      <c r="N30" s="32" t="n">
        <f aca="false">IF(C30="ampoule verre",$E$12,IF(C30="poche PEA",$E$13,$E$11))</f>
        <v>10</v>
      </c>
      <c r="O30" s="32" t="n">
        <f aca="false">IF(C30="ampoule verre",$E$8,IF(C30="poche PEA",$E$9,$E$7))</f>
        <v>7.1</v>
      </c>
      <c r="P30" s="31" t="n">
        <f aca="false">N30/1000*O30*(1+$E$5/100)</f>
        <v>0.07455</v>
      </c>
      <c r="Q30" s="32" t="n">
        <f aca="false">$E$14</f>
        <v>3</v>
      </c>
      <c r="R30" s="31" t="n">
        <f aca="false">Q30/1000*$E$10</f>
        <v>0.00348</v>
      </c>
      <c r="S30" s="31" t="n">
        <f aca="false">IF(J30="","",SUM(L30:M30,P30,R30))</f>
        <v>0.183125</v>
      </c>
      <c r="T30" s="31" t="str">
        <f aca="false">IF(OR(J30="",K30=$E$4),"Élevé - FE PA générique",IF(W30&lt;&gt;"","À vérifier","Moyen"))</f>
        <v>Élevé - FE PA générique</v>
      </c>
      <c r="U30" s="31" t="s">
        <v>455</v>
      </c>
      <c r="V30" s="31" t="s">
        <v>456</v>
      </c>
      <c r="W30" s="31"/>
      <c r="X30" s="1" t="str">
        <f aca="false">IF(A30="","",IF(OR(ISNUMBER(SEARCH("poche",C30)),ISNUMBER(SEARCH("ampoule",C30)),ISNUMBER(SEARCH("plastique",C30))),"Prêt à être dilué / administré (hypothèse)","Reconstitution nécessaire (hypothèse)"))</f>
        <v>Reconstitution nécessaire (hypothèse)</v>
      </c>
      <c r="Y30" s="1" t="str">
        <f aca="false">IF(A30="","",IF(ISNUMBER(SEARCH("Reconstitution",X30)),"Flacon/poudre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0" s="1" t="n">
        <f aca="false">IF(A30="","",IF(ISNUMBER(SEARCH("Reconstitution",X30)),1,0))</f>
        <v>1</v>
      </c>
      <c r="AA30" s="1" t="str">
        <f aca="false">IF(Z30&gt;0,"SERINGUE_PP_24ML","")</f>
        <v>SERINGUE_PP_24ML</v>
      </c>
      <c r="AB30" s="27" t="n">
        <f aca="false">IF(Z30&gt;0,Z30*VLOOKUP(AA30,FACTEURS_ITEMS!$A$3:$J$30,4,FALSE()),0)</f>
        <v>0.069</v>
      </c>
      <c r="AC30" s="1" t="n">
        <f aca="false">IF(A30="","",IF(ISNUMBER(SEARCH("Reconstitution",X30)),1,0))</f>
        <v>1</v>
      </c>
      <c r="AD30" s="1" t="str">
        <f aca="false">IF(AC30&gt;0,"AIGUILLE_RECONSTITUTION","")</f>
        <v>AIGUILLE_RECONSTITUTION</v>
      </c>
      <c r="AE30" s="27" t="n">
        <f aca="false">IF(AC30&gt;0,AC30*VLOOKUP(AD30,FACTEURS_ITEMS!$A$3:$J$30,4,FALSE()),0)</f>
        <v>0.01</v>
      </c>
      <c r="AF30" s="27" t="n">
        <f aca="false">IF(A30="","",AB30+AE30)</f>
        <v>0.079</v>
      </c>
      <c r="AG30" s="27" t="n">
        <f aca="false">IF(A30="","",S30+AF30)</f>
        <v>0.262125</v>
      </c>
      <c r="AH30" s="1" t="str">
        <f aca="false">IF(A30="","",IF(AF30&gt;0,"ACV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1" customFormat="false" ht="27.75" hidden="false" customHeight="true" outlineLevel="0" collapsed="false">
      <c r="A31" s="31" t="s">
        <v>475</v>
      </c>
      <c r="B31" s="31" t="s">
        <v>465</v>
      </c>
      <c r="C31" s="31" t="s">
        <v>454</v>
      </c>
      <c r="D31" s="31" t="s">
        <v>475</v>
      </c>
      <c r="E31" s="31" t="n">
        <v>2000</v>
      </c>
      <c r="F31" s="31"/>
      <c r="G31" s="31"/>
      <c r="H31" s="31"/>
      <c r="I31" s="31"/>
      <c r="J31" s="31" t="n">
        <f aca="false">IFERROR(SUM(E31,G31,I31)/1000,"")</f>
        <v>2</v>
      </c>
      <c r="K31" s="32" t="n">
        <f aca="false">$E$4</f>
        <v>100</v>
      </c>
      <c r="L31" s="31" t="n">
        <f aca="false">IF(J31="","",J31/1000*K31*(1+$E$5/100))</f>
        <v>0.21</v>
      </c>
      <c r="M31" s="31" t="n">
        <f aca="false">IF(J31="","",J31/1000*$E$6)</f>
        <v>0.00019</v>
      </c>
      <c r="N31" s="32" t="n">
        <f aca="false">IF(C31="ampoule verre",$E$12,IF(C31="poche PEA",$E$13,$E$11))</f>
        <v>10</v>
      </c>
      <c r="O31" s="32" t="n">
        <f aca="false">IF(C31="ampoule verre",$E$8,IF(C31="poche PEA",$E$9,$E$7))</f>
        <v>7.1</v>
      </c>
      <c r="P31" s="31" t="n">
        <f aca="false">N31/1000*O31*(1+$E$5/100)</f>
        <v>0.07455</v>
      </c>
      <c r="Q31" s="32" t="n">
        <f aca="false">$E$14</f>
        <v>3</v>
      </c>
      <c r="R31" s="31" t="n">
        <f aca="false">Q31/1000*$E$10</f>
        <v>0.00348</v>
      </c>
      <c r="S31" s="31" t="n">
        <f aca="false">IF(J31="","",SUM(L31:M31,P31,R31))</f>
        <v>0.28822</v>
      </c>
      <c r="T31" s="31" t="str">
        <f aca="false">IF(OR(J31="",K31=$E$4),"Élevé - FE PA générique",IF(W31&lt;&gt;"","À vérifier","Moyen"))</f>
        <v>Élevé - FE PA générique</v>
      </c>
      <c r="U31" s="31" t="s">
        <v>455</v>
      </c>
      <c r="V31" s="31" t="s">
        <v>456</v>
      </c>
      <c r="W31" s="31"/>
      <c r="X31" s="1" t="str">
        <f aca="false">IF(A31="","",IF(OR(ISNUMBER(SEARCH("poche",C31)),ISNUMBER(SEARCH("ampoule",C31)),ISNUMBER(SEARCH("plastique",C31))),"Prêt à être dilué / administré (hypothèse)","Reconstitution nécessaire (hypothèse)"))</f>
        <v>Reconstitution nécessaire (hypothèse)</v>
      </c>
      <c r="Y31" s="1" t="str">
        <f aca="false">IF(A31="","",IF(ISNUMBER(SEARCH("Reconstitution",X31)),"Flacon/poudre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1" s="1" t="n">
        <f aca="false">IF(A31="","",IF(ISNUMBER(SEARCH("Reconstitution",X31)),1,0))</f>
        <v>1</v>
      </c>
      <c r="AA31" s="1" t="str">
        <f aca="false">IF(Z31&gt;0,"SERINGUE_PP_24ML","")</f>
        <v>SERINGUE_PP_24ML</v>
      </c>
      <c r="AB31" s="27" t="n">
        <f aca="false">IF(Z31&gt;0,Z31*VLOOKUP(AA31,FACTEURS_ITEMS!$A$3:$J$30,4,FALSE()),0)</f>
        <v>0.069</v>
      </c>
      <c r="AC31" s="1" t="n">
        <f aca="false">IF(A31="","",IF(ISNUMBER(SEARCH("Reconstitution",X31)),1,0))</f>
        <v>1</v>
      </c>
      <c r="AD31" s="1" t="str">
        <f aca="false">IF(AC31&gt;0,"AIGUILLE_RECONSTITUTION","")</f>
        <v>AIGUILLE_RECONSTITUTION</v>
      </c>
      <c r="AE31" s="27" t="n">
        <f aca="false">IF(AC31&gt;0,AC31*VLOOKUP(AD31,FACTEURS_ITEMS!$A$3:$J$30,4,FALSE()),0)</f>
        <v>0.01</v>
      </c>
      <c r="AF31" s="27" t="n">
        <f aca="false">IF(A31="","",AB31+AE31)</f>
        <v>0.079</v>
      </c>
      <c r="AG31" s="27" t="n">
        <f aca="false">IF(A31="","",S31+AF31)</f>
        <v>0.36722</v>
      </c>
      <c r="AH31" s="1" t="str">
        <f aca="false">IF(A31="","",IF(AF31&gt;0,"ACV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2" customFormat="false" ht="41.25" hidden="false" customHeight="true" outlineLevel="0" collapsed="false">
      <c r="A32" s="31" t="s">
        <v>476</v>
      </c>
      <c r="B32" s="31" t="s">
        <v>477</v>
      </c>
      <c r="C32" s="31" t="s">
        <v>454</v>
      </c>
      <c r="D32" s="31" t="s">
        <v>476</v>
      </c>
      <c r="E32" s="31" t="n">
        <v>600</v>
      </c>
      <c r="F32" s="31"/>
      <c r="G32" s="31"/>
      <c r="H32" s="31"/>
      <c r="I32" s="31"/>
      <c r="J32" s="31" t="n">
        <f aca="false">IFERROR(SUM(E32,G32,I32)/1000,"")</f>
        <v>0.6</v>
      </c>
      <c r="K32" s="32" t="n">
        <f aca="false">$E$4</f>
        <v>100</v>
      </c>
      <c r="L32" s="31" t="n">
        <f aca="false">IF(J32="","",J32/1000*K32*(1+$E$5/100))</f>
        <v>0.063</v>
      </c>
      <c r="M32" s="31" t="n">
        <f aca="false">IF(J32="","",J32/1000*$E$6)</f>
        <v>5.7E-005</v>
      </c>
      <c r="N32" s="32" t="n">
        <f aca="false">IF(C32="ampoule verre",$E$12,IF(C32="poche PEA",$E$13,$E$11))</f>
        <v>10</v>
      </c>
      <c r="O32" s="32" t="n">
        <f aca="false">IF(C32="ampoule verre",$E$8,IF(C32="poche PEA",$E$9,$E$7))</f>
        <v>7.1</v>
      </c>
      <c r="P32" s="31" t="n">
        <f aca="false">N32/1000*O32*(1+$E$5/100)</f>
        <v>0.07455</v>
      </c>
      <c r="Q32" s="32" t="n">
        <f aca="false">$E$14</f>
        <v>3</v>
      </c>
      <c r="R32" s="31" t="n">
        <f aca="false">Q32/1000*$E$10</f>
        <v>0.00348</v>
      </c>
      <c r="S32" s="31" t="n">
        <f aca="false">IF(J32="","",SUM(L32:M32,P32,R32))</f>
        <v>0.141087</v>
      </c>
      <c r="T32" s="31" t="str">
        <f aca="false">IF(OR(J32="",K32=$E$4),"Élevé - FE PA générique",IF(W32&lt;&gt;"","À vérifier","Moyen"))</f>
        <v>Élevé - FE PA générique</v>
      </c>
      <c r="U32" s="31" t="s">
        <v>478</v>
      </c>
      <c r="V32" s="31" t="s">
        <v>456</v>
      </c>
      <c r="W32" s="31" t="s">
        <v>479</v>
      </c>
      <c r="X32" s="1" t="str">
        <f aca="false">IF(A32="","",IF(OR(ISNUMBER(SEARCH("poche",C32)),ISNUMBER(SEARCH("ampoule",C32)),ISNUMBER(SEARCH("plastique",C32))),"Prêt à être dilué / administré (hypothèse)","Reconstitution nécessaire (hypothèse)"))</f>
        <v>Reconstitution nécessaire (hypothèse)</v>
      </c>
      <c r="Y32" s="1" t="str">
        <f aca="false">IF(A32="","",IF(ISNUMBER(SEARCH("Reconstitution",X32)),"Flacon/poudre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2" s="1" t="n">
        <f aca="false">IF(A32="","",IF(ISNUMBER(SEARCH("Reconstitution",X32)),1,0))</f>
        <v>1</v>
      </c>
      <c r="AA32" s="1" t="str">
        <f aca="false">IF(Z32&gt;0,"SERINGUE_PP_24ML","")</f>
        <v>SERINGUE_PP_24ML</v>
      </c>
      <c r="AB32" s="27" t="n">
        <f aca="false">IF(Z32&gt;0,Z32*VLOOKUP(AA32,FACTEURS_ITEMS!$A$3:$J$30,4,FALSE()),0)</f>
        <v>0.069</v>
      </c>
      <c r="AC32" s="1" t="n">
        <f aca="false">IF(A32="","",IF(ISNUMBER(SEARCH("Reconstitution",X32)),1,0))</f>
        <v>1</v>
      </c>
      <c r="AD32" s="1" t="str">
        <f aca="false">IF(AC32&gt;0,"AIGUILLE_RECONSTITUTION","")</f>
        <v>AIGUILLE_RECONSTITUTION</v>
      </c>
      <c r="AE32" s="27" t="n">
        <f aca="false">IF(AC32&gt;0,AC32*VLOOKUP(AD32,FACTEURS_ITEMS!$A$3:$J$30,4,FALSE()),0)</f>
        <v>0.01</v>
      </c>
      <c r="AF32" s="27" t="n">
        <f aca="false">IF(A32="","",AB32+AE32)</f>
        <v>0.079</v>
      </c>
      <c r="AG32" s="27" t="n">
        <f aca="false">IF(A32="","",S32+AF32)</f>
        <v>0.220087</v>
      </c>
      <c r="AH32" s="1" t="str">
        <f aca="false">IF(A32="","",IF(AF32&gt;0,"ACV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3" customFormat="false" ht="41.25" hidden="false" customHeight="true" outlineLevel="0" collapsed="false">
      <c r="A33" s="31" t="s">
        <v>476</v>
      </c>
      <c r="B33" s="31" t="s">
        <v>480</v>
      </c>
      <c r="C33" s="31" t="s">
        <v>454</v>
      </c>
      <c r="D33" s="31" t="s">
        <v>476</v>
      </c>
      <c r="E33" s="31" t="n">
        <v>3000</v>
      </c>
      <c r="F33" s="31"/>
      <c r="G33" s="31"/>
      <c r="H33" s="31"/>
      <c r="I33" s="31"/>
      <c r="J33" s="31" t="n">
        <f aca="false">IFERROR(SUM(E33,G33,I33)/1000,"")</f>
        <v>3</v>
      </c>
      <c r="K33" s="32" t="n">
        <f aca="false">$E$4</f>
        <v>100</v>
      </c>
      <c r="L33" s="31" t="n">
        <f aca="false">IF(J33="","",J33/1000*K33*(1+$E$5/100))</f>
        <v>0.315</v>
      </c>
      <c r="M33" s="31" t="n">
        <f aca="false">IF(J33="","",J33/1000*$E$6)</f>
        <v>0.000285</v>
      </c>
      <c r="N33" s="32" t="n">
        <f aca="false">IF(C33="ampoule verre",$E$12,IF(C33="poche PEA",$E$13,$E$11))</f>
        <v>10</v>
      </c>
      <c r="O33" s="32" t="n">
        <f aca="false">IF(C33="ampoule verre",$E$8,IF(C33="poche PEA",$E$9,$E$7))</f>
        <v>7.1</v>
      </c>
      <c r="P33" s="31" t="n">
        <f aca="false">N33/1000*O33*(1+$E$5/100)</f>
        <v>0.07455</v>
      </c>
      <c r="Q33" s="32" t="n">
        <f aca="false">$E$14</f>
        <v>3</v>
      </c>
      <c r="R33" s="31" t="n">
        <f aca="false">Q33/1000*$E$10</f>
        <v>0.00348</v>
      </c>
      <c r="S33" s="31" t="n">
        <f aca="false">IF(J33="","",SUM(L33:M33,P33,R33))</f>
        <v>0.393315</v>
      </c>
      <c r="T33" s="31" t="str">
        <f aca="false">IF(OR(J33="",K33=$E$4),"Élevé - FE PA générique",IF(W33&lt;&gt;"","À vérifier","Moyen"))</f>
        <v>Élevé - FE PA générique</v>
      </c>
      <c r="U33" s="31" t="s">
        <v>478</v>
      </c>
      <c r="V33" s="31" t="s">
        <v>456</v>
      </c>
      <c r="W33" s="31" t="s">
        <v>479</v>
      </c>
      <c r="X33" s="1" t="str">
        <f aca="false">IF(A33="","",IF(OR(ISNUMBER(SEARCH("poche",C33)),ISNUMBER(SEARCH("ampoule",C33)),ISNUMBER(SEARCH("plastique",C33))),"Prêt à être dilué / administré (hypothèse)","Reconstitution nécessaire (hypothèse)"))</f>
        <v>Reconstitution nécessaire (hypothèse)</v>
      </c>
      <c r="Y33" s="1" t="str">
        <f aca="false">IF(A33="","",IF(ISNUMBER(SEARCH("Reconstitution",X33)),"Flacon/poudre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3" s="1" t="n">
        <f aca="false">IF(A33="","",IF(ISNUMBER(SEARCH("Reconstitution",X33)),1,0))</f>
        <v>1</v>
      </c>
      <c r="AA33" s="1" t="str">
        <f aca="false">IF(Z33&gt;0,"SERINGUE_PP_24ML","")</f>
        <v>SERINGUE_PP_24ML</v>
      </c>
      <c r="AB33" s="27" t="n">
        <f aca="false">IF(Z33&gt;0,Z33*VLOOKUP(AA33,FACTEURS_ITEMS!$A$3:$J$30,4,FALSE()),0)</f>
        <v>0.069</v>
      </c>
      <c r="AC33" s="1" t="n">
        <f aca="false">IF(A33="","",IF(ISNUMBER(SEARCH("Reconstitution",X33)),1,0))</f>
        <v>1</v>
      </c>
      <c r="AD33" s="1" t="str">
        <f aca="false">IF(AC33&gt;0,"AIGUILLE_RECONSTITUTION","")</f>
        <v>AIGUILLE_RECONSTITUTION</v>
      </c>
      <c r="AE33" s="27" t="n">
        <f aca="false">IF(AC33&gt;0,AC33*VLOOKUP(AD33,FACTEURS_ITEMS!$A$3:$J$30,4,FALSE()),0)</f>
        <v>0.01</v>
      </c>
      <c r="AF33" s="27" t="n">
        <f aca="false">IF(A33="","",AB33+AE33)</f>
        <v>0.079</v>
      </c>
      <c r="AG33" s="27" t="n">
        <f aca="false">IF(A33="","",S33+AF33)</f>
        <v>0.472315</v>
      </c>
      <c r="AH33" s="1" t="str">
        <f aca="false">IF(A33="","",IF(AF33&gt;0,"ACV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4" customFormat="false" ht="41.25" hidden="false" customHeight="true" outlineLevel="0" collapsed="false">
      <c r="A34" s="31" t="s">
        <v>476</v>
      </c>
      <c r="B34" s="31" t="s">
        <v>481</v>
      </c>
      <c r="C34" s="31" t="s">
        <v>454</v>
      </c>
      <c r="D34" s="31" t="s">
        <v>476</v>
      </c>
      <c r="E34" s="31" t="n">
        <v>6000</v>
      </c>
      <c r="F34" s="31"/>
      <c r="G34" s="31"/>
      <c r="H34" s="31"/>
      <c r="I34" s="31"/>
      <c r="J34" s="31" t="n">
        <f aca="false">IFERROR(SUM(E34,G34,I34)/1000,"")</f>
        <v>6</v>
      </c>
      <c r="K34" s="32" t="n">
        <f aca="false">$E$4</f>
        <v>100</v>
      </c>
      <c r="L34" s="31" t="n">
        <f aca="false">IF(J34="","",J34/1000*K34*(1+$E$5/100))</f>
        <v>0.63</v>
      </c>
      <c r="M34" s="31" t="n">
        <f aca="false">IF(J34="","",J34/1000*$E$6)</f>
        <v>0.00057</v>
      </c>
      <c r="N34" s="32" t="n">
        <f aca="false">IF(C34="ampoule verre",$E$12,IF(C34="poche PEA",$E$13,$E$11))</f>
        <v>10</v>
      </c>
      <c r="O34" s="32" t="n">
        <f aca="false">IF(C34="ampoule verre",$E$8,IF(C34="poche PEA",$E$9,$E$7))</f>
        <v>7.1</v>
      </c>
      <c r="P34" s="31" t="n">
        <f aca="false">N34/1000*O34*(1+$E$5/100)</f>
        <v>0.07455</v>
      </c>
      <c r="Q34" s="32" t="n">
        <f aca="false">$E$14</f>
        <v>3</v>
      </c>
      <c r="R34" s="31" t="n">
        <f aca="false">Q34/1000*$E$10</f>
        <v>0.00348</v>
      </c>
      <c r="S34" s="31" t="n">
        <f aca="false">IF(J34="","",SUM(L34:M34,P34,R34))</f>
        <v>0.7086</v>
      </c>
      <c r="T34" s="31" t="str">
        <f aca="false">IF(OR(J34="",K34=$E$4),"Élevé - FE PA générique",IF(W34&lt;&gt;"","À vérifier","Moyen"))</f>
        <v>Élevé - FE PA générique</v>
      </c>
      <c r="U34" s="31" t="s">
        <v>478</v>
      </c>
      <c r="V34" s="31" t="s">
        <v>456</v>
      </c>
      <c r="W34" s="31" t="s">
        <v>479</v>
      </c>
      <c r="X34" s="1" t="str">
        <f aca="false">IF(A34="","",IF(OR(ISNUMBER(SEARCH("poche",C34)),ISNUMBER(SEARCH("ampoule",C34)),ISNUMBER(SEARCH("plastique",C34))),"Prêt à être dilué / administré (hypothèse)","Reconstitution nécessaire (hypothèse)"))</f>
        <v>Reconstitution nécessaire (hypothèse)</v>
      </c>
      <c r="Y34" s="1" t="str">
        <f aca="false">IF(A34="","",IF(ISNUMBER(SEARCH("Reconstitution",X34)),"Flacon/poudre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4" s="1" t="n">
        <f aca="false">IF(A34="","",IF(ISNUMBER(SEARCH("Reconstitution",X34)),1,0))</f>
        <v>1</v>
      </c>
      <c r="AA34" s="1" t="str">
        <f aca="false">IF(Z34&gt;0,"SERINGUE_PP_24ML","")</f>
        <v>SERINGUE_PP_24ML</v>
      </c>
      <c r="AB34" s="27" t="n">
        <f aca="false">IF(Z34&gt;0,Z34*VLOOKUP(AA34,FACTEURS_ITEMS!$A$3:$J$30,4,FALSE()),0)</f>
        <v>0.069</v>
      </c>
      <c r="AC34" s="1" t="n">
        <f aca="false">IF(A34="","",IF(ISNUMBER(SEARCH("Reconstitution",X34)),1,0))</f>
        <v>1</v>
      </c>
      <c r="AD34" s="1" t="str">
        <f aca="false">IF(AC34&gt;0,"AIGUILLE_RECONSTITUTION","")</f>
        <v>AIGUILLE_RECONSTITUTION</v>
      </c>
      <c r="AE34" s="27" t="n">
        <f aca="false">IF(AC34&gt;0,AC34*VLOOKUP(AD34,FACTEURS_ITEMS!$A$3:$J$30,4,FALSE()),0)</f>
        <v>0.01</v>
      </c>
      <c r="AF34" s="27" t="n">
        <f aca="false">IF(A34="","",AB34+AE34)</f>
        <v>0.079</v>
      </c>
      <c r="AG34" s="27" t="n">
        <f aca="false">IF(A34="","",S34+AF34)</f>
        <v>0.7876</v>
      </c>
      <c r="AH34" s="1" t="str">
        <f aca="false">IF(A34="","",IF(AF34&gt;0,"ACV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5" customFormat="false" ht="27.75" hidden="false" customHeight="true" outlineLevel="0" collapsed="false">
      <c r="A35" s="31" t="s">
        <v>482</v>
      </c>
      <c r="B35" s="31" t="s">
        <v>483</v>
      </c>
      <c r="C35" s="31" t="s">
        <v>454</v>
      </c>
      <c r="D35" s="31" t="s">
        <v>482</v>
      </c>
      <c r="E35" s="31" t="n">
        <v>50</v>
      </c>
      <c r="F35" s="31"/>
      <c r="G35" s="31"/>
      <c r="H35" s="31"/>
      <c r="I35" s="31"/>
      <c r="J35" s="31" t="n">
        <f aca="false">IFERROR(SUM(E35,G35,I35)/1000,"")</f>
        <v>0.05</v>
      </c>
      <c r="K35" s="32" t="n">
        <f aca="false">$E$4</f>
        <v>100</v>
      </c>
      <c r="L35" s="31" t="n">
        <f aca="false">IF(J35="","",J35/1000*K35*(1+$E$5/100))</f>
        <v>0.00525</v>
      </c>
      <c r="M35" s="31" t="n">
        <f aca="false">IF(J35="","",J35/1000*$E$6)</f>
        <v>4.75E-006</v>
      </c>
      <c r="N35" s="32" t="n">
        <f aca="false">IF(C35="ampoule verre",$E$12,IF(C35="poche PEA",$E$13,$E$11))</f>
        <v>10</v>
      </c>
      <c r="O35" s="32" t="n">
        <f aca="false">IF(C35="ampoule verre",$E$8,IF(C35="poche PEA",$E$9,$E$7))</f>
        <v>7.1</v>
      </c>
      <c r="P35" s="31" t="n">
        <f aca="false">N35/1000*O35*(1+$E$5/100)</f>
        <v>0.07455</v>
      </c>
      <c r="Q35" s="32" t="n">
        <f aca="false">$E$14</f>
        <v>3</v>
      </c>
      <c r="R35" s="31" t="n">
        <f aca="false">Q35/1000*$E$10</f>
        <v>0.00348</v>
      </c>
      <c r="S35" s="31" t="n">
        <f aca="false">IF(J35="","",SUM(L35:M35,P35,R35))</f>
        <v>0.08328475</v>
      </c>
      <c r="T35" s="31" t="str">
        <f aca="false">IF(OR(J35="",K35=$E$4),"Élevé - FE PA générique",IF(W35&lt;&gt;"","À vérifier","Moyen"))</f>
        <v>Élevé - FE PA générique</v>
      </c>
      <c r="U35" s="31" t="s">
        <v>455</v>
      </c>
      <c r="V35" s="31" t="s">
        <v>456</v>
      </c>
      <c r="W35" s="31"/>
      <c r="X35" s="1" t="str">
        <f aca="false">IF(A35="","",IF(OR(ISNUMBER(SEARCH("poche",C35)),ISNUMBER(SEARCH("ampoule",C35)),ISNUMBER(SEARCH("plastique",C35))),"Prêt à être dilué / administré (hypothèse)","Reconstitution nécessaire (hypothèse)"))</f>
        <v>Reconstitution nécessaire (hypothèse)</v>
      </c>
      <c r="Y35" s="1" t="str">
        <f aca="false">IF(A35="","",IF(ISNUMBER(SEARCH("Reconstitution",X35)),"Flacon/poudre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5" s="1" t="n">
        <f aca="false">IF(A35="","",IF(ISNUMBER(SEARCH("Reconstitution",X35)),1,0))</f>
        <v>1</v>
      </c>
      <c r="AA35" s="1" t="str">
        <f aca="false">IF(Z35&gt;0,"SERINGUE_PP_24ML","")</f>
        <v>SERINGUE_PP_24ML</v>
      </c>
      <c r="AB35" s="27" t="n">
        <f aca="false">IF(Z35&gt;0,Z35*VLOOKUP(AA35,FACTEURS_ITEMS!$A$3:$J$30,4,FALSE()),0)</f>
        <v>0.069</v>
      </c>
      <c r="AC35" s="1" t="n">
        <f aca="false">IF(A35="","",IF(ISNUMBER(SEARCH("Reconstitution",X35)),1,0))</f>
        <v>1</v>
      </c>
      <c r="AD35" s="1" t="str">
        <f aca="false">IF(AC35&gt;0,"AIGUILLE_RECONSTITUTION","")</f>
        <v>AIGUILLE_RECONSTITUTION</v>
      </c>
      <c r="AE35" s="27" t="n">
        <f aca="false">IF(AC35&gt;0,AC35*VLOOKUP(AD35,FACTEURS_ITEMS!$A$3:$J$30,4,FALSE()),0)</f>
        <v>0.01</v>
      </c>
      <c r="AF35" s="27" t="n">
        <f aca="false">IF(A35="","",AB35+AE35)</f>
        <v>0.079</v>
      </c>
      <c r="AG35" s="27" t="n">
        <f aca="false">IF(A35="","",S35+AF35)</f>
        <v>0.16228475</v>
      </c>
      <c r="AH35" s="1" t="str">
        <f aca="false">IF(A35="","",IF(AF35&gt;0,"ACV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6" customFormat="false" ht="27.75" hidden="false" customHeight="true" outlineLevel="0" collapsed="false">
      <c r="A36" s="31" t="s">
        <v>482</v>
      </c>
      <c r="B36" s="31" t="s">
        <v>484</v>
      </c>
      <c r="C36" s="31" t="s">
        <v>454</v>
      </c>
      <c r="D36" s="31" t="s">
        <v>482</v>
      </c>
      <c r="E36" s="31" t="n">
        <v>70</v>
      </c>
      <c r="F36" s="31"/>
      <c r="G36" s="31"/>
      <c r="H36" s="31"/>
      <c r="I36" s="31"/>
      <c r="J36" s="31" t="n">
        <f aca="false">IFERROR(SUM(E36,G36,I36)/1000,"")</f>
        <v>0.07</v>
      </c>
      <c r="K36" s="32" t="n">
        <f aca="false">$E$4</f>
        <v>100</v>
      </c>
      <c r="L36" s="31" t="n">
        <f aca="false">IF(J36="","",J36/1000*K36*(1+$E$5/100))</f>
        <v>0.00735</v>
      </c>
      <c r="M36" s="31" t="n">
        <f aca="false">IF(J36="","",J36/1000*$E$6)</f>
        <v>6.65E-006</v>
      </c>
      <c r="N36" s="32" t="n">
        <f aca="false">IF(C36="ampoule verre",$E$12,IF(C36="poche PEA",$E$13,$E$11))</f>
        <v>10</v>
      </c>
      <c r="O36" s="32" t="n">
        <f aca="false">IF(C36="ampoule verre",$E$8,IF(C36="poche PEA",$E$9,$E$7))</f>
        <v>7.1</v>
      </c>
      <c r="P36" s="31" t="n">
        <f aca="false">N36/1000*O36*(1+$E$5/100)</f>
        <v>0.07455</v>
      </c>
      <c r="Q36" s="32" t="n">
        <f aca="false">$E$14</f>
        <v>3</v>
      </c>
      <c r="R36" s="31" t="n">
        <f aca="false">Q36/1000*$E$10</f>
        <v>0.00348</v>
      </c>
      <c r="S36" s="31" t="n">
        <f aca="false">IF(J36="","",SUM(L36:M36,P36,R36))</f>
        <v>0.08538665</v>
      </c>
      <c r="T36" s="31" t="str">
        <f aca="false">IF(OR(J36="",K36=$E$4),"Élevé - FE PA générique",IF(W36&lt;&gt;"","À vérifier","Moyen"))</f>
        <v>Élevé - FE PA générique</v>
      </c>
      <c r="U36" s="31" t="s">
        <v>455</v>
      </c>
      <c r="V36" s="31" t="s">
        <v>456</v>
      </c>
      <c r="W36" s="31"/>
      <c r="X36" s="1" t="str">
        <f aca="false">IF(A36="","",IF(OR(ISNUMBER(SEARCH("poche",C36)),ISNUMBER(SEARCH("ampoule",C36)),ISNUMBER(SEARCH("plastique",C36))),"Prêt à être dilué / administré (hypothèse)","Reconstitution nécessaire (hypothèse)"))</f>
        <v>Reconstitution nécessaire (hypothèse)</v>
      </c>
      <c r="Y36" s="1" t="str">
        <f aca="false">IF(A36="","",IF(ISNUMBER(SEARCH("Reconstitution",X36)),"Flacon/poudre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6" s="1" t="n">
        <f aca="false">IF(A36="","",IF(ISNUMBER(SEARCH("Reconstitution",X36)),1,0))</f>
        <v>1</v>
      </c>
      <c r="AA36" s="1" t="str">
        <f aca="false">IF(Z36&gt;0,"SERINGUE_PP_24ML","")</f>
        <v>SERINGUE_PP_24ML</v>
      </c>
      <c r="AB36" s="27" t="n">
        <f aca="false">IF(Z36&gt;0,Z36*VLOOKUP(AA36,FACTEURS_ITEMS!$A$3:$J$30,4,FALSE()),0)</f>
        <v>0.069</v>
      </c>
      <c r="AC36" s="1" t="n">
        <f aca="false">IF(A36="","",IF(ISNUMBER(SEARCH("Reconstitution",X36)),1,0))</f>
        <v>1</v>
      </c>
      <c r="AD36" s="1" t="str">
        <f aca="false">IF(AC36&gt;0,"AIGUILLE_RECONSTITUTION","")</f>
        <v>AIGUILLE_RECONSTITUTION</v>
      </c>
      <c r="AE36" s="27" t="n">
        <f aca="false">IF(AC36&gt;0,AC36*VLOOKUP(AD36,FACTEURS_ITEMS!$A$3:$J$30,4,FALSE()),0)</f>
        <v>0.01</v>
      </c>
      <c r="AF36" s="27" t="n">
        <f aca="false">IF(A36="","",AB36+AE36)</f>
        <v>0.079</v>
      </c>
      <c r="AG36" s="27" t="n">
        <f aca="false">IF(A36="","",S36+AF36)</f>
        <v>0.16438665</v>
      </c>
      <c r="AH36" s="1" t="str">
        <f aca="false">IF(A36="","",IF(AF36&gt;0,"ACV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7" customFormat="false" ht="27.75" hidden="false" customHeight="true" outlineLevel="0" collapsed="false">
      <c r="A37" s="31" t="s">
        <v>485</v>
      </c>
      <c r="B37" s="31" t="s">
        <v>464</v>
      </c>
      <c r="C37" s="31" t="s">
        <v>454</v>
      </c>
      <c r="D37" s="31" t="s">
        <v>485</v>
      </c>
      <c r="E37" s="31" t="n">
        <v>1000</v>
      </c>
      <c r="F37" s="31"/>
      <c r="G37" s="31"/>
      <c r="H37" s="31"/>
      <c r="I37" s="31"/>
      <c r="J37" s="31" t="n">
        <f aca="false">IFERROR(SUM(E37,G37,I37)/1000,"")</f>
        <v>1</v>
      </c>
      <c r="K37" s="32" t="n">
        <f aca="false">$E$4</f>
        <v>100</v>
      </c>
      <c r="L37" s="31" t="n">
        <f aca="false">IF(J37="","",J37/1000*K37*(1+$E$5/100))</f>
        <v>0.105</v>
      </c>
      <c r="M37" s="31" t="n">
        <f aca="false">IF(J37="","",J37/1000*$E$6)</f>
        <v>9.5E-005</v>
      </c>
      <c r="N37" s="32" t="n">
        <f aca="false">IF(C37="ampoule verre",$E$12,IF(C37="poche PEA",$E$13,$E$11))</f>
        <v>10</v>
      </c>
      <c r="O37" s="32" t="n">
        <f aca="false">IF(C37="ampoule verre",$E$8,IF(C37="poche PEA",$E$9,$E$7))</f>
        <v>7.1</v>
      </c>
      <c r="P37" s="31" t="n">
        <f aca="false">N37/1000*O37*(1+$E$5/100)</f>
        <v>0.07455</v>
      </c>
      <c r="Q37" s="32" t="n">
        <f aca="false">$E$14</f>
        <v>3</v>
      </c>
      <c r="R37" s="31" t="n">
        <f aca="false">Q37/1000*$E$10</f>
        <v>0.00348</v>
      </c>
      <c r="S37" s="31" t="n">
        <f aca="false">IF(J37="","",SUM(L37:M37,P37,R37))</f>
        <v>0.183125</v>
      </c>
      <c r="T37" s="31" t="str">
        <f aca="false">IF(OR(J37="",K37=$E$4),"Élevé - FE PA générique",IF(W37&lt;&gt;"","À vérifier","Moyen"))</f>
        <v>Élevé - FE PA générique</v>
      </c>
      <c r="U37" s="31" t="s">
        <v>455</v>
      </c>
      <c r="V37" s="31" t="s">
        <v>456</v>
      </c>
      <c r="W37" s="31"/>
      <c r="X37" s="1" t="str">
        <f aca="false">IF(A37="","",IF(OR(ISNUMBER(SEARCH("poche",C37)),ISNUMBER(SEARCH("ampoule",C37)),ISNUMBER(SEARCH("plastique",C37))),"Prêt à être dilué / administré (hypothèse)","Reconstitution nécessaire (hypothèse)"))</f>
        <v>Reconstitution nécessaire (hypothèse)</v>
      </c>
      <c r="Y37" s="1" t="str">
        <f aca="false">IF(A37="","",IF(ISNUMBER(SEARCH("Reconstitution",X37)),"Flacon/poudre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7" s="1" t="n">
        <f aca="false">IF(A37="","",IF(ISNUMBER(SEARCH("Reconstitution",X37)),1,0))</f>
        <v>1</v>
      </c>
      <c r="AA37" s="1" t="str">
        <f aca="false">IF(Z37&gt;0,"SERINGUE_PP_24ML","")</f>
        <v>SERINGUE_PP_24ML</v>
      </c>
      <c r="AB37" s="27" t="n">
        <f aca="false">IF(Z37&gt;0,Z37*VLOOKUP(AA37,FACTEURS_ITEMS!$A$3:$J$30,4,FALSE()),0)</f>
        <v>0.069</v>
      </c>
      <c r="AC37" s="1" t="n">
        <f aca="false">IF(A37="","",IF(ISNUMBER(SEARCH("Reconstitution",X37)),1,0))</f>
        <v>1</v>
      </c>
      <c r="AD37" s="1" t="str">
        <f aca="false">IF(AC37&gt;0,"AIGUILLE_RECONSTITUTION","")</f>
        <v>AIGUILLE_RECONSTITUTION</v>
      </c>
      <c r="AE37" s="27" t="n">
        <f aca="false">IF(AC37&gt;0,AC37*VLOOKUP(AD37,FACTEURS_ITEMS!$A$3:$J$30,4,FALSE()),0)</f>
        <v>0.01</v>
      </c>
      <c r="AF37" s="27" t="n">
        <f aca="false">IF(A37="","",AB37+AE37)</f>
        <v>0.079</v>
      </c>
      <c r="AG37" s="27" t="n">
        <f aca="false">IF(A37="","",S37+AF37)</f>
        <v>0.262125</v>
      </c>
      <c r="AH37" s="1" t="str">
        <f aca="false">IF(A37="","",IF(AF37&gt;0,"ACV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8" customFormat="false" ht="27.75" hidden="false" customHeight="true" outlineLevel="0" collapsed="false">
      <c r="A38" s="31" t="s">
        <v>485</v>
      </c>
      <c r="B38" s="31" t="s">
        <v>465</v>
      </c>
      <c r="C38" s="31" t="s">
        <v>454</v>
      </c>
      <c r="D38" s="31" t="s">
        <v>485</v>
      </c>
      <c r="E38" s="31" t="n">
        <v>2000</v>
      </c>
      <c r="F38" s="31"/>
      <c r="G38" s="31"/>
      <c r="H38" s="31"/>
      <c r="I38" s="31"/>
      <c r="J38" s="31" t="n">
        <f aca="false">IFERROR(SUM(E38,G38,I38)/1000,"")</f>
        <v>2</v>
      </c>
      <c r="K38" s="32" t="n">
        <f aca="false">$E$4</f>
        <v>100</v>
      </c>
      <c r="L38" s="31" t="n">
        <f aca="false">IF(J38="","",J38/1000*K38*(1+$E$5/100))</f>
        <v>0.21</v>
      </c>
      <c r="M38" s="31" t="n">
        <f aca="false">IF(J38="","",J38/1000*$E$6)</f>
        <v>0.00019</v>
      </c>
      <c r="N38" s="32" t="n">
        <f aca="false">IF(C38="ampoule verre",$E$12,IF(C38="poche PEA",$E$13,$E$11))</f>
        <v>10</v>
      </c>
      <c r="O38" s="32" t="n">
        <f aca="false">IF(C38="ampoule verre",$E$8,IF(C38="poche PEA",$E$9,$E$7))</f>
        <v>7.1</v>
      </c>
      <c r="P38" s="31" t="n">
        <f aca="false">N38/1000*O38*(1+$E$5/100)</f>
        <v>0.07455</v>
      </c>
      <c r="Q38" s="32" t="n">
        <f aca="false">$E$14</f>
        <v>3</v>
      </c>
      <c r="R38" s="31" t="n">
        <f aca="false">Q38/1000*$E$10</f>
        <v>0.00348</v>
      </c>
      <c r="S38" s="31" t="n">
        <f aca="false">IF(J38="","",SUM(L38:M38,P38,R38))</f>
        <v>0.28822</v>
      </c>
      <c r="T38" s="31" t="str">
        <f aca="false">IF(OR(J38="",K38=$E$4),"Élevé - FE PA générique",IF(W38&lt;&gt;"","À vérifier","Moyen"))</f>
        <v>Élevé - FE PA générique</v>
      </c>
      <c r="U38" s="31" t="s">
        <v>455</v>
      </c>
      <c r="V38" s="31" t="s">
        <v>456</v>
      </c>
      <c r="W38" s="31"/>
      <c r="X38" s="1" t="str">
        <f aca="false">IF(A38="","",IF(OR(ISNUMBER(SEARCH("poche",C38)),ISNUMBER(SEARCH("ampoule",C38)),ISNUMBER(SEARCH("plastique",C38))),"Prêt à être dilué / administré (hypothèse)","Reconstitution nécessaire (hypothèse)"))</f>
        <v>Reconstitution nécessaire (hypothèse)</v>
      </c>
      <c r="Y38" s="1" t="str">
        <f aca="false">IF(A38="","",IF(ISNUMBER(SEARCH("Reconstitution",X38)),"Flacon/poudre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8" s="1" t="n">
        <f aca="false">IF(A38="","",IF(ISNUMBER(SEARCH("Reconstitution",X38)),1,0))</f>
        <v>1</v>
      </c>
      <c r="AA38" s="1" t="str">
        <f aca="false">IF(Z38&gt;0,"SERINGUE_PP_24ML","")</f>
        <v>SERINGUE_PP_24ML</v>
      </c>
      <c r="AB38" s="27" t="n">
        <f aca="false">IF(Z38&gt;0,Z38*VLOOKUP(AA38,FACTEURS_ITEMS!$A$3:$J$30,4,FALSE()),0)</f>
        <v>0.069</v>
      </c>
      <c r="AC38" s="1" t="n">
        <f aca="false">IF(A38="","",IF(ISNUMBER(SEARCH("Reconstitution",X38)),1,0))</f>
        <v>1</v>
      </c>
      <c r="AD38" s="1" t="str">
        <f aca="false">IF(AC38&gt;0,"AIGUILLE_RECONSTITUTION","")</f>
        <v>AIGUILLE_RECONSTITUTION</v>
      </c>
      <c r="AE38" s="27" t="n">
        <f aca="false">IF(AC38&gt;0,AC38*VLOOKUP(AD38,FACTEURS_ITEMS!$A$3:$J$30,4,FALSE()),0)</f>
        <v>0.01</v>
      </c>
      <c r="AF38" s="27" t="n">
        <f aca="false">IF(A38="","",AB38+AE38)</f>
        <v>0.079</v>
      </c>
      <c r="AG38" s="27" t="n">
        <f aca="false">IF(A38="","",S38+AF38)</f>
        <v>0.36722</v>
      </c>
      <c r="AH38" s="1" t="str">
        <f aca="false">IF(A38="","",IF(AF38&gt;0,"ACV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39" customFormat="false" ht="27.75" hidden="false" customHeight="true" outlineLevel="0" collapsed="false">
      <c r="A39" s="31" t="s">
        <v>486</v>
      </c>
      <c r="B39" s="31" t="s">
        <v>464</v>
      </c>
      <c r="C39" s="31" t="s">
        <v>454</v>
      </c>
      <c r="D39" s="31" t="s">
        <v>486</v>
      </c>
      <c r="E39" s="31" t="n">
        <v>1000</v>
      </c>
      <c r="F39" s="31"/>
      <c r="G39" s="31"/>
      <c r="H39" s="31"/>
      <c r="I39" s="31"/>
      <c r="J39" s="31" t="n">
        <f aca="false">IFERROR(SUM(E39,G39,I39)/1000,"")</f>
        <v>1</v>
      </c>
      <c r="K39" s="32" t="n">
        <f aca="false">$E$4</f>
        <v>100</v>
      </c>
      <c r="L39" s="31" t="n">
        <f aca="false">IF(J39="","",J39/1000*K39*(1+$E$5/100))</f>
        <v>0.105</v>
      </c>
      <c r="M39" s="31" t="n">
        <f aca="false">IF(J39="","",J39/1000*$E$6)</f>
        <v>9.5E-005</v>
      </c>
      <c r="N39" s="32" t="n">
        <f aca="false">IF(C39="ampoule verre",$E$12,IF(C39="poche PEA",$E$13,$E$11))</f>
        <v>10</v>
      </c>
      <c r="O39" s="32" t="n">
        <f aca="false">IF(C39="ampoule verre",$E$8,IF(C39="poche PEA",$E$9,$E$7))</f>
        <v>7.1</v>
      </c>
      <c r="P39" s="31" t="n">
        <f aca="false">N39/1000*O39*(1+$E$5/100)</f>
        <v>0.07455</v>
      </c>
      <c r="Q39" s="32" t="n">
        <f aca="false">$E$14</f>
        <v>3</v>
      </c>
      <c r="R39" s="31" t="n">
        <f aca="false">Q39/1000*$E$10</f>
        <v>0.00348</v>
      </c>
      <c r="S39" s="31" t="n">
        <f aca="false">IF(J39="","",SUM(L39:M39,P39,R39))</f>
        <v>0.183125</v>
      </c>
      <c r="T39" s="31" t="str">
        <f aca="false">IF(OR(J39="",K39=$E$4),"Élevé - FE PA générique",IF(W39&lt;&gt;"","À vérifier","Moyen"))</f>
        <v>Élevé - FE PA générique</v>
      </c>
      <c r="U39" s="31" t="s">
        <v>455</v>
      </c>
      <c r="V39" s="31" t="s">
        <v>456</v>
      </c>
      <c r="W39" s="31"/>
      <c r="X39" s="1" t="str">
        <f aca="false">IF(A39="","",IF(OR(ISNUMBER(SEARCH("poche",C39)),ISNUMBER(SEARCH("ampoule",C39)),ISNUMBER(SEARCH("plastique",C39))),"Prêt à être dilué / administré (hypothèse)","Reconstitution nécessaire (hypothèse)"))</f>
        <v>Reconstitution nécessaire (hypothèse)</v>
      </c>
      <c r="Y39" s="1" t="str">
        <f aca="false">IF(A39="","",IF(ISNUMBER(SEARCH("Reconstitution",X39)),"Flacon/poudre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39" s="1" t="n">
        <f aca="false">IF(A39="","",IF(ISNUMBER(SEARCH("Reconstitution",X39)),1,0))</f>
        <v>1</v>
      </c>
      <c r="AA39" s="1" t="str">
        <f aca="false">IF(Z39&gt;0,"SERINGUE_PP_24ML","")</f>
        <v>SERINGUE_PP_24ML</v>
      </c>
      <c r="AB39" s="27" t="n">
        <f aca="false">IF(Z39&gt;0,Z39*VLOOKUP(AA39,FACTEURS_ITEMS!$A$3:$J$30,4,FALSE()),0)</f>
        <v>0.069</v>
      </c>
      <c r="AC39" s="1" t="n">
        <f aca="false">IF(A39="","",IF(ISNUMBER(SEARCH("Reconstitution",X39)),1,0))</f>
        <v>1</v>
      </c>
      <c r="AD39" s="1" t="str">
        <f aca="false">IF(AC39&gt;0,"AIGUILLE_RECONSTITUTION","")</f>
        <v>AIGUILLE_RECONSTITUTION</v>
      </c>
      <c r="AE39" s="27" t="n">
        <f aca="false">IF(AC39&gt;0,AC39*VLOOKUP(AD39,FACTEURS_ITEMS!$A$3:$J$30,4,FALSE()),0)</f>
        <v>0.01</v>
      </c>
      <c r="AF39" s="27" t="n">
        <f aca="false">IF(A39="","",AB39+AE39)</f>
        <v>0.079</v>
      </c>
      <c r="AG39" s="27" t="n">
        <f aca="false">IF(A39="","",S39+AF39)</f>
        <v>0.262125</v>
      </c>
      <c r="AH39" s="1" t="str">
        <f aca="false">IF(A39="","",IF(AF39&gt;0,"ACV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0" customFormat="false" ht="27.75" hidden="false" customHeight="true" outlineLevel="0" collapsed="false">
      <c r="A40" s="31" t="s">
        <v>486</v>
      </c>
      <c r="B40" s="31" t="s">
        <v>465</v>
      </c>
      <c r="C40" s="31" t="s">
        <v>454</v>
      </c>
      <c r="D40" s="31" t="s">
        <v>486</v>
      </c>
      <c r="E40" s="31" t="n">
        <v>2000</v>
      </c>
      <c r="F40" s="31"/>
      <c r="G40" s="31"/>
      <c r="H40" s="31"/>
      <c r="I40" s="31"/>
      <c r="J40" s="31" t="n">
        <f aca="false">IFERROR(SUM(E40,G40,I40)/1000,"")</f>
        <v>2</v>
      </c>
      <c r="K40" s="32" t="n">
        <f aca="false">$E$4</f>
        <v>100</v>
      </c>
      <c r="L40" s="31" t="n">
        <f aca="false">IF(J40="","",J40/1000*K40*(1+$E$5/100))</f>
        <v>0.21</v>
      </c>
      <c r="M40" s="31" t="n">
        <f aca="false">IF(J40="","",J40/1000*$E$6)</f>
        <v>0.00019</v>
      </c>
      <c r="N40" s="32" t="n">
        <f aca="false">IF(C40="ampoule verre",$E$12,IF(C40="poche PEA",$E$13,$E$11))</f>
        <v>10</v>
      </c>
      <c r="O40" s="32" t="n">
        <f aca="false">IF(C40="ampoule verre",$E$8,IF(C40="poche PEA",$E$9,$E$7))</f>
        <v>7.1</v>
      </c>
      <c r="P40" s="31" t="n">
        <f aca="false">N40/1000*O40*(1+$E$5/100)</f>
        <v>0.07455</v>
      </c>
      <c r="Q40" s="32" t="n">
        <f aca="false">$E$14</f>
        <v>3</v>
      </c>
      <c r="R40" s="31" t="n">
        <f aca="false">Q40/1000*$E$10</f>
        <v>0.00348</v>
      </c>
      <c r="S40" s="31" t="n">
        <f aca="false">IF(J40="","",SUM(L40:M40,P40,R40))</f>
        <v>0.28822</v>
      </c>
      <c r="T40" s="31" t="str">
        <f aca="false">IF(OR(J40="",K40=$E$4),"Élevé - FE PA générique",IF(W40&lt;&gt;"","À vérifier","Moyen"))</f>
        <v>Élevé - FE PA générique</v>
      </c>
      <c r="U40" s="31" t="s">
        <v>455</v>
      </c>
      <c r="V40" s="31" t="s">
        <v>456</v>
      </c>
      <c r="W40" s="31"/>
      <c r="X40" s="1" t="str">
        <f aca="false">IF(A40="","",IF(OR(ISNUMBER(SEARCH("poche",C40)),ISNUMBER(SEARCH("ampoule",C40)),ISNUMBER(SEARCH("plastique",C40))),"Prêt à être dilué / administré (hypothèse)","Reconstitution nécessaire (hypothèse)"))</f>
        <v>Reconstitution nécessaire (hypothèse)</v>
      </c>
      <c r="Y40" s="1" t="str">
        <f aca="false">IF(A40="","",IF(ISNUMBER(SEARCH("Reconstitution",X40)),"Flacon/poudre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0" s="1" t="n">
        <f aca="false">IF(A40="","",IF(ISNUMBER(SEARCH("Reconstitution",X40)),1,0))</f>
        <v>1</v>
      </c>
      <c r="AA40" s="1" t="str">
        <f aca="false">IF(Z40&gt;0,"SERINGUE_PP_24ML","")</f>
        <v>SERINGUE_PP_24ML</v>
      </c>
      <c r="AB40" s="27" t="n">
        <f aca="false">IF(Z40&gt;0,Z40*VLOOKUP(AA40,FACTEURS_ITEMS!$A$3:$J$30,4,FALSE()),0)</f>
        <v>0.069</v>
      </c>
      <c r="AC40" s="1" t="n">
        <f aca="false">IF(A40="","",IF(ISNUMBER(SEARCH("Reconstitution",X40)),1,0))</f>
        <v>1</v>
      </c>
      <c r="AD40" s="1" t="str">
        <f aca="false">IF(AC40&gt;0,"AIGUILLE_RECONSTITUTION","")</f>
        <v>AIGUILLE_RECONSTITUTION</v>
      </c>
      <c r="AE40" s="27" t="n">
        <f aca="false">IF(AC40&gt;0,AC40*VLOOKUP(AD40,FACTEURS_ITEMS!$A$3:$J$30,4,FALSE()),0)</f>
        <v>0.01</v>
      </c>
      <c r="AF40" s="27" t="n">
        <f aca="false">IF(A40="","",AB40+AE40)</f>
        <v>0.079</v>
      </c>
      <c r="AG40" s="27" t="n">
        <f aca="false">IF(A40="","",S40+AF40)</f>
        <v>0.36722</v>
      </c>
      <c r="AH40" s="1" t="str">
        <f aca="false">IF(A40="","",IF(AF40&gt;0,"ACV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1" customFormat="false" ht="27.75" hidden="false" customHeight="true" outlineLevel="0" collapsed="false">
      <c r="A41" s="31" t="s">
        <v>487</v>
      </c>
      <c r="B41" s="31" t="s">
        <v>464</v>
      </c>
      <c r="C41" s="31" t="s">
        <v>454</v>
      </c>
      <c r="D41" s="31" t="s">
        <v>487</v>
      </c>
      <c r="E41" s="31" t="n">
        <v>1000</v>
      </c>
      <c r="F41" s="31"/>
      <c r="G41" s="31"/>
      <c r="H41" s="31"/>
      <c r="I41" s="31"/>
      <c r="J41" s="31" t="n">
        <f aca="false">IFERROR(SUM(E41,G41,I41)/1000,"")</f>
        <v>1</v>
      </c>
      <c r="K41" s="32" t="n">
        <f aca="false">$E$4</f>
        <v>100</v>
      </c>
      <c r="L41" s="31" t="n">
        <f aca="false">IF(J41="","",J41/1000*K41*(1+$E$5/100))</f>
        <v>0.105</v>
      </c>
      <c r="M41" s="31" t="n">
        <f aca="false">IF(J41="","",J41/1000*$E$6)</f>
        <v>9.5E-005</v>
      </c>
      <c r="N41" s="32" t="n">
        <f aca="false">IF(C41="ampoule verre",$E$12,IF(C41="poche PEA",$E$13,$E$11))</f>
        <v>10</v>
      </c>
      <c r="O41" s="32" t="n">
        <f aca="false">IF(C41="ampoule verre",$E$8,IF(C41="poche PEA",$E$9,$E$7))</f>
        <v>7.1</v>
      </c>
      <c r="P41" s="31" t="n">
        <f aca="false">N41/1000*O41*(1+$E$5/100)</f>
        <v>0.07455</v>
      </c>
      <c r="Q41" s="32" t="n">
        <f aca="false">$E$14</f>
        <v>3</v>
      </c>
      <c r="R41" s="31" t="n">
        <f aca="false">Q41/1000*$E$10</f>
        <v>0.00348</v>
      </c>
      <c r="S41" s="31" t="n">
        <f aca="false">IF(J41="","",SUM(L41:M41,P41,R41))</f>
        <v>0.183125</v>
      </c>
      <c r="T41" s="31" t="str">
        <f aca="false">IF(OR(J41="",K41=$E$4),"Élevé - FE PA générique",IF(W41&lt;&gt;"","À vérifier","Moyen"))</f>
        <v>Élevé - FE PA générique</v>
      </c>
      <c r="U41" s="31" t="s">
        <v>471</v>
      </c>
      <c r="V41" s="31" t="s">
        <v>456</v>
      </c>
      <c r="W41" s="31"/>
      <c r="X41" s="1" t="str">
        <f aca="false">IF(A41="","",IF(OR(ISNUMBER(SEARCH("poche",C41)),ISNUMBER(SEARCH("ampoule",C41)),ISNUMBER(SEARCH("plastique",C41))),"Prêt à être dilué / administré (hypothèse)","Reconstitution nécessaire (hypothèse)"))</f>
        <v>Reconstitution nécessaire (hypothèse)</v>
      </c>
      <c r="Y41" s="1" t="str">
        <f aca="false">IF(A41="","",IF(ISNUMBER(SEARCH("Reconstitution",X41)),"Flacon/poudre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1" s="1" t="n">
        <f aca="false">IF(A41="","",IF(ISNUMBER(SEARCH("Reconstitution",X41)),1,0))</f>
        <v>1</v>
      </c>
      <c r="AA41" s="1" t="str">
        <f aca="false">IF(Z41&gt;0,"SERINGUE_PP_24ML","")</f>
        <v>SERINGUE_PP_24ML</v>
      </c>
      <c r="AB41" s="27" t="n">
        <f aca="false">IF(Z41&gt;0,Z41*VLOOKUP(AA41,FACTEURS_ITEMS!$A$3:$J$30,4,FALSE()),0)</f>
        <v>0.069</v>
      </c>
      <c r="AC41" s="1" t="n">
        <f aca="false">IF(A41="","",IF(ISNUMBER(SEARCH("Reconstitution",X41)),1,0))</f>
        <v>1</v>
      </c>
      <c r="AD41" s="1" t="str">
        <f aca="false">IF(AC41&gt;0,"AIGUILLE_RECONSTITUTION","")</f>
        <v>AIGUILLE_RECONSTITUTION</v>
      </c>
      <c r="AE41" s="27" t="n">
        <f aca="false">IF(AC41&gt;0,AC41*VLOOKUP(AD41,FACTEURS_ITEMS!$A$3:$J$30,4,FALSE()),0)</f>
        <v>0.01</v>
      </c>
      <c r="AF41" s="27" t="n">
        <f aca="false">IF(A41="","",AB41+AE41)</f>
        <v>0.079</v>
      </c>
      <c r="AG41" s="27" t="n">
        <f aca="false">IF(A41="","",S41+AF41)</f>
        <v>0.262125</v>
      </c>
      <c r="AH41" s="1" t="str">
        <f aca="false">IF(A41="","",IF(AF41&gt;0,"ACV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2" customFormat="false" ht="27.75" hidden="false" customHeight="true" outlineLevel="0" collapsed="false">
      <c r="A42" s="31" t="s">
        <v>488</v>
      </c>
      <c r="B42" s="31" t="s">
        <v>464</v>
      </c>
      <c r="C42" s="31" t="s">
        <v>454</v>
      </c>
      <c r="D42" s="31" t="s">
        <v>488</v>
      </c>
      <c r="E42" s="31" t="n">
        <v>1000</v>
      </c>
      <c r="F42" s="31"/>
      <c r="G42" s="31"/>
      <c r="H42" s="31"/>
      <c r="I42" s="31"/>
      <c r="J42" s="31" t="n">
        <f aca="false">IFERROR(SUM(E42,G42,I42)/1000,"")</f>
        <v>1</v>
      </c>
      <c r="K42" s="32" t="n">
        <f aca="false">$E$4</f>
        <v>100</v>
      </c>
      <c r="L42" s="31" t="n">
        <f aca="false">IF(J42="","",J42/1000*K42*(1+$E$5/100))</f>
        <v>0.105</v>
      </c>
      <c r="M42" s="31" t="n">
        <f aca="false">IF(J42="","",J42/1000*$E$6)</f>
        <v>9.5E-005</v>
      </c>
      <c r="N42" s="32" t="n">
        <f aca="false">IF(C42="ampoule verre",$E$12,IF(C42="poche PEA",$E$13,$E$11))</f>
        <v>10</v>
      </c>
      <c r="O42" s="32" t="n">
        <f aca="false">IF(C42="ampoule verre",$E$8,IF(C42="poche PEA",$E$9,$E$7))</f>
        <v>7.1</v>
      </c>
      <c r="P42" s="31" t="n">
        <f aca="false">N42/1000*O42*(1+$E$5/100)</f>
        <v>0.07455</v>
      </c>
      <c r="Q42" s="32" t="n">
        <f aca="false">$E$14</f>
        <v>3</v>
      </c>
      <c r="R42" s="31" t="n">
        <f aca="false">Q42/1000*$E$10</f>
        <v>0.00348</v>
      </c>
      <c r="S42" s="31" t="n">
        <f aca="false">IF(J42="","",SUM(L42:M42,P42,R42))</f>
        <v>0.183125</v>
      </c>
      <c r="T42" s="31" t="str">
        <f aca="false">IF(OR(J42="",K42=$E$4),"Élevé - FE PA générique",IF(W42&lt;&gt;"","À vérifier","Moyen"))</f>
        <v>Élevé - FE PA générique</v>
      </c>
      <c r="U42" s="31" t="s">
        <v>455</v>
      </c>
      <c r="V42" s="31" t="s">
        <v>456</v>
      </c>
      <c r="W42" s="31"/>
      <c r="X42" s="1" t="str">
        <f aca="false">IF(A42="","",IF(OR(ISNUMBER(SEARCH("poche",C42)),ISNUMBER(SEARCH("ampoule",C42)),ISNUMBER(SEARCH("plastique",C42))),"Prêt à être dilué / administré (hypothèse)","Reconstitution nécessaire (hypothèse)"))</f>
        <v>Reconstitution nécessaire (hypothèse)</v>
      </c>
      <c r="Y42" s="1" t="str">
        <f aca="false">IF(A42="","",IF(ISNUMBER(SEARCH("Reconstitution",X42)),"Flacon/poudre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2" s="1" t="n">
        <f aca="false">IF(A42="","",IF(ISNUMBER(SEARCH("Reconstitution",X42)),1,0))</f>
        <v>1</v>
      </c>
      <c r="AA42" s="1" t="str">
        <f aca="false">IF(Z42&gt;0,"SERINGUE_PP_24ML","")</f>
        <v>SERINGUE_PP_24ML</v>
      </c>
      <c r="AB42" s="27" t="n">
        <f aca="false">IF(Z42&gt;0,Z42*VLOOKUP(AA42,FACTEURS_ITEMS!$A$3:$J$30,4,FALSE()),0)</f>
        <v>0.069</v>
      </c>
      <c r="AC42" s="1" t="n">
        <f aca="false">IF(A42="","",IF(ISNUMBER(SEARCH("Reconstitution",X42)),1,0))</f>
        <v>1</v>
      </c>
      <c r="AD42" s="1" t="str">
        <f aca="false">IF(AC42&gt;0,"AIGUILLE_RECONSTITUTION","")</f>
        <v>AIGUILLE_RECONSTITUTION</v>
      </c>
      <c r="AE42" s="27" t="n">
        <f aca="false">IF(AC42&gt;0,AC42*VLOOKUP(AD42,FACTEURS_ITEMS!$A$3:$J$30,4,FALSE()),0)</f>
        <v>0.01</v>
      </c>
      <c r="AF42" s="27" t="n">
        <f aca="false">IF(A42="","",AB42+AE42)</f>
        <v>0.079</v>
      </c>
      <c r="AG42" s="27" t="n">
        <f aca="false">IF(A42="","",S42+AF42)</f>
        <v>0.262125</v>
      </c>
      <c r="AH42" s="1" t="str">
        <f aca="false">IF(A42="","",IF(AF42&gt;0,"ACV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3" customFormat="false" ht="27.75" hidden="false" customHeight="true" outlineLevel="0" collapsed="false">
      <c r="A43" s="31" t="s">
        <v>488</v>
      </c>
      <c r="B43" s="31" t="s">
        <v>465</v>
      </c>
      <c r="C43" s="31" t="s">
        <v>454</v>
      </c>
      <c r="D43" s="31" t="s">
        <v>488</v>
      </c>
      <c r="E43" s="31" t="n">
        <v>2000</v>
      </c>
      <c r="F43" s="31"/>
      <c r="G43" s="31"/>
      <c r="H43" s="31"/>
      <c r="I43" s="31"/>
      <c r="J43" s="31" t="n">
        <f aca="false">IFERROR(SUM(E43,G43,I43)/1000,"")</f>
        <v>2</v>
      </c>
      <c r="K43" s="32" t="n">
        <f aca="false">$E$4</f>
        <v>100</v>
      </c>
      <c r="L43" s="31" t="n">
        <f aca="false">IF(J43="","",J43/1000*K43*(1+$E$5/100))</f>
        <v>0.21</v>
      </c>
      <c r="M43" s="31" t="n">
        <f aca="false">IF(J43="","",J43/1000*$E$6)</f>
        <v>0.00019</v>
      </c>
      <c r="N43" s="32" t="n">
        <f aca="false">IF(C43="ampoule verre",$E$12,IF(C43="poche PEA",$E$13,$E$11))</f>
        <v>10</v>
      </c>
      <c r="O43" s="32" t="n">
        <f aca="false">IF(C43="ampoule verre",$E$8,IF(C43="poche PEA",$E$9,$E$7))</f>
        <v>7.1</v>
      </c>
      <c r="P43" s="31" t="n">
        <f aca="false">N43/1000*O43*(1+$E$5/100)</f>
        <v>0.07455</v>
      </c>
      <c r="Q43" s="32" t="n">
        <f aca="false">$E$14</f>
        <v>3</v>
      </c>
      <c r="R43" s="31" t="n">
        <f aca="false">Q43/1000*$E$10</f>
        <v>0.00348</v>
      </c>
      <c r="S43" s="31" t="n">
        <f aca="false">IF(J43="","",SUM(L43:M43,P43,R43))</f>
        <v>0.28822</v>
      </c>
      <c r="T43" s="31" t="str">
        <f aca="false">IF(OR(J43="",K43=$E$4),"Élevé - FE PA générique",IF(W43&lt;&gt;"","À vérifier","Moyen"))</f>
        <v>Élevé - FE PA générique</v>
      </c>
      <c r="U43" s="31" t="s">
        <v>455</v>
      </c>
      <c r="V43" s="31" t="s">
        <v>456</v>
      </c>
      <c r="W43" s="31"/>
      <c r="X43" s="1" t="str">
        <f aca="false">IF(A43="","",IF(OR(ISNUMBER(SEARCH("poche",C43)),ISNUMBER(SEARCH("ampoule",C43)),ISNUMBER(SEARCH("plastique",C43))),"Prêt à être dilué / administré (hypothèse)","Reconstitution nécessaire (hypothèse)"))</f>
        <v>Reconstitution nécessaire (hypothèse)</v>
      </c>
      <c r="Y43" s="1" t="str">
        <f aca="false">IF(A43="","",IF(ISNUMBER(SEARCH("Reconstitution",X43)),"Flacon/poudre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3" s="1" t="n">
        <f aca="false">IF(A43="","",IF(ISNUMBER(SEARCH("Reconstitution",X43)),1,0))</f>
        <v>1</v>
      </c>
      <c r="AA43" s="1" t="str">
        <f aca="false">IF(Z43&gt;0,"SERINGUE_PP_24ML","")</f>
        <v>SERINGUE_PP_24ML</v>
      </c>
      <c r="AB43" s="27" t="n">
        <f aca="false">IF(Z43&gt;0,Z43*VLOOKUP(AA43,FACTEURS_ITEMS!$A$3:$J$30,4,FALSE()),0)</f>
        <v>0.069</v>
      </c>
      <c r="AC43" s="1" t="n">
        <f aca="false">IF(A43="","",IF(ISNUMBER(SEARCH("Reconstitution",X43)),1,0))</f>
        <v>1</v>
      </c>
      <c r="AD43" s="1" t="str">
        <f aca="false">IF(AC43&gt;0,"AIGUILLE_RECONSTITUTION","")</f>
        <v>AIGUILLE_RECONSTITUTION</v>
      </c>
      <c r="AE43" s="27" t="n">
        <f aca="false">IF(AC43&gt;0,AC43*VLOOKUP(AD43,FACTEURS_ITEMS!$A$3:$J$30,4,FALSE()),0)</f>
        <v>0.01</v>
      </c>
      <c r="AF43" s="27" t="n">
        <f aca="false">IF(A43="","",AB43+AE43)</f>
        <v>0.079</v>
      </c>
      <c r="AG43" s="27" t="n">
        <f aca="false">IF(A43="","",S43+AF43)</f>
        <v>0.36722</v>
      </c>
      <c r="AH43" s="1" t="str">
        <f aca="false">IF(A43="","",IF(AF43&gt;0,"ACV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4" customFormat="false" ht="27.75" hidden="false" customHeight="true" outlineLevel="0" collapsed="false">
      <c r="A44" s="31" t="s">
        <v>489</v>
      </c>
      <c r="B44" s="31" t="s">
        <v>464</v>
      </c>
      <c r="C44" s="31" t="s">
        <v>454</v>
      </c>
      <c r="D44" s="31" t="s">
        <v>489</v>
      </c>
      <c r="E44" s="31" t="n">
        <v>1000</v>
      </c>
      <c r="F44" s="31"/>
      <c r="G44" s="31"/>
      <c r="H44" s="31"/>
      <c r="I44" s="31"/>
      <c r="J44" s="31" t="n">
        <f aca="false">IFERROR(SUM(E44,G44,I44)/1000,"")</f>
        <v>1</v>
      </c>
      <c r="K44" s="32" t="n">
        <f aca="false">$E$4</f>
        <v>100</v>
      </c>
      <c r="L44" s="31" t="n">
        <f aca="false">IF(J44="","",J44/1000*K44*(1+$E$5/100))</f>
        <v>0.105</v>
      </c>
      <c r="M44" s="31" t="n">
        <f aca="false">IF(J44="","",J44/1000*$E$6)</f>
        <v>9.5E-005</v>
      </c>
      <c r="N44" s="32" t="n">
        <f aca="false">IF(C44="ampoule verre",$E$12,IF(C44="poche PEA",$E$13,$E$11))</f>
        <v>10</v>
      </c>
      <c r="O44" s="32" t="n">
        <f aca="false">IF(C44="ampoule verre",$E$8,IF(C44="poche PEA",$E$9,$E$7))</f>
        <v>7.1</v>
      </c>
      <c r="P44" s="31" t="n">
        <f aca="false">N44/1000*O44*(1+$E$5/100)</f>
        <v>0.07455</v>
      </c>
      <c r="Q44" s="32" t="n">
        <f aca="false">$E$14</f>
        <v>3</v>
      </c>
      <c r="R44" s="31" t="n">
        <f aca="false">Q44/1000*$E$10</f>
        <v>0.00348</v>
      </c>
      <c r="S44" s="31" t="n">
        <f aca="false">IF(J44="","",SUM(L44:M44,P44,R44))</f>
        <v>0.183125</v>
      </c>
      <c r="T44" s="31" t="str">
        <f aca="false">IF(OR(J44="",K44=$E$4),"Élevé - FE PA générique",IF(W44&lt;&gt;"","À vérifier","Moyen"))</f>
        <v>Élevé - FE PA générique</v>
      </c>
      <c r="U44" s="31" t="s">
        <v>455</v>
      </c>
      <c r="V44" s="31" t="s">
        <v>456</v>
      </c>
      <c r="W44" s="31"/>
      <c r="X44" s="1" t="str">
        <f aca="false">IF(A44="","",IF(OR(ISNUMBER(SEARCH("poche",C44)),ISNUMBER(SEARCH("ampoule",C44)),ISNUMBER(SEARCH("plastique",C44))),"Prêt à être dilué / administré (hypothèse)","Reconstitution nécessaire (hypothèse)"))</f>
        <v>Reconstitution nécessaire (hypothèse)</v>
      </c>
      <c r="Y44" s="1" t="str">
        <f aca="false">IF(A44="","",IF(ISNUMBER(SEARCH("Reconstitution",X44)),"Flacon/poudre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4" s="1" t="n">
        <f aca="false">IF(A44="","",IF(ISNUMBER(SEARCH("Reconstitution",X44)),1,0))</f>
        <v>1</v>
      </c>
      <c r="AA44" s="1" t="str">
        <f aca="false">IF(Z44&gt;0,"SERINGUE_PP_24ML","")</f>
        <v>SERINGUE_PP_24ML</v>
      </c>
      <c r="AB44" s="27" t="n">
        <f aca="false">IF(Z44&gt;0,Z44*VLOOKUP(AA44,FACTEURS_ITEMS!$A$3:$J$30,4,FALSE()),0)</f>
        <v>0.069</v>
      </c>
      <c r="AC44" s="1" t="n">
        <f aca="false">IF(A44="","",IF(ISNUMBER(SEARCH("Reconstitution",X44)),1,0))</f>
        <v>1</v>
      </c>
      <c r="AD44" s="1" t="str">
        <f aca="false">IF(AC44&gt;0,"AIGUILLE_RECONSTITUTION","")</f>
        <v>AIGUILLE_RECONSTITUTION</v>
      </c>
      <c r="AE44" s="27" t="n">
        <f aca="false">IF(AC44&gt;0,AC44*VLOOKUP(AD44,FACTEURS_ITEMS!$A$3:$J$30,4,FALSE()),0)</f>
        <v>0.01</v>
      </c>
      <c r="AF44" s="27" t="n">
        <f aca="false">IF(A44="","",AB44+AE44)</f>
        <v>0.079</v>
      </c>
      <c r="AG44" s="27" t="n">
        <f aca="false">IF(A44="","",S44+AF44)</f>
        <v>0.262125</v>
      </c>
      <c r="AH44" s="1" t="str">
        <f aca="false">IF(A44="","",IF(AF44&gt;0,"ACV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5" customFormat="false" ht="27.75" hidden="false" customHeight="true" outlineLevel="0" collapsed="false">
      <c r="A45" s="31" t="s">
        <v>489</v>
      </c>
      <c r="B45" s="31" t="s">
        <v>465</v>
      </c>
      <c r="C45" s="31" t="s">
        <v>454</v>
      </c>
      <c r="D45" s="31" t="s">
        <v>489</v>
      </c>
      <c r="E45" s="31" t="n">
        <v>2000</v>
      </c>
      <c r="F45" s="31"/>
      <c r="G45" s="31"/>
      <c r="H45" s="31"/>
      <c r="I45" s="31"/>
      <c r="J45" s="31" t="n">
        <f aca="false">IFERROR(SUM(E45,G45,I45)/1000,"")</f>
        <v>2</v>
      </c>
      <c r="K45" s="32" t="n">
        <f aca="false">$E$4</f>
        <v>100</v>
      </c>
      <c r="L45" s="31" t="n">
        <f aca="false">IF(J45="","",J45/1000*K45*(1+$E$5/100))</f>
        <v>0.21</v>
      </c>
      <c r="M45" s="31" t="n">
        <f aca="false">IF(J45="","",J45/1000*$E$6)</f>
        <v>0.00019</v>
      </c>
      <c r="N45" s="32" t="n">
        <f aca="false">IF(C45="ampoule verre",$E$12,IF(C45="poche PEA",$E$13,$E$11))</f>
        <v>10</v>
      </c>
      <c r="O45" s="32" t="n">
        <f aca="false">IF(C45="ampoule verre",$E$8,IF(C45="poche PEA",$E$9,$E$7))</f>
        <v>7.1</v>
      </c>
      <c r="P45" s="31" t="n">
        <f aca="false">N45/1000*O45*(1+$E$5/100)</f>
        <v>0.07455</v>
      </c>
      <c r="Q45" s="32" t="n">
        <f aca="false">$E$14</f>
        <v>3</v>
      </c>
      <c r="R45" s="31" t="n">
        <f aca="false">Q45/1000*$E$10</f>
        <v>0.00348</v>
      </c>
      <c r="S45" s="31" t="n">
        <f aca="false">IF(J45="","",SUM(L45:M45,P45,R45))</f>
        <v>0.28822</v>
      </c>
      <c r="T45" s="31" t="str">
        <f aca="false">IF(OR(J45="",K45=$E$4),"Élevé - FE PA générique",IF(W45&lt;&gt;"","À vérifier","Moyen"))</f>
        <v>Élevé - FE PA générique</v>
      </c>
      <c r="U45" s="31" t="s">
        <v>455</v>
      </c>
      <c r="V45" s="31" t="s">
        <v>456</v>
      </c>
      <c r="W45" s="31"/>
      <c r="X45" s="1" t="str">
        <f aca="false">IF(A45="","",IF(OR(ISNUMBER(SEARCH("poche",C45)),ISNUMBER(SEARCH("ampoule",C45)),ISNUMBER(SEARCH("plastique",C45))),"Prêt à être dilué / administré (hypothèse)","Reconstitution nécessaire (hypothèse)"))</f>
        <v>Reconstitution nécessaire (hypothèse)</v>
      </c>
      <c r="Y45" s="1" t="str">
        <f aca="false">IF(A45="","",IF(ISNUMBER(SEARCH("Reconstitution",X45)),"Flacon/poudre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5" s="1" t="n">
        <f aca="false">IF(A45="","",IF(ISNUMBER(SEARCH("Reconstitution",X45)),1,0))</f>
        <v>1</v>
      </c>
      <c r="AA45" s="1" t="str">
        <f aca="false">IF(Z45&gt;0,"SERINGUE_PP_24ML","")</f>
        <v>SERINGUE_PP_24ML</v>
      </c>
      <c r="AB45" s="27" t="n">
        <f aca="false">IF(Z45&gt;0,Z45*VLOOKUP(AA45,FACTEURS_ITEMS!$A$3:$J$30,4,FALSE()),0)</f>
        <v>0.069</v>
      </c>
      <c r="AC45" s="1" t="n">
        <f aca="false">IF(A45="","",IF(ISNUMBER(SEARCH("Reconstitution",X45)),1,0))</f>
        <v>1</v>
      </c>
      <c r="AD45" s="1" t="str">
        <f aca="false">IF(AC45&gt;0,"AIGUILLE_RECONSTITUTION","")</f>
        <v>AIGUILLE_RECONSTITUTION</v>
      </c>
      <c r="AE45" s="27" t="n">
        <f aca="false">IF(AC45&gt;0,AC45*VLOOKUP(AD45,FACTEURS_ITEMS!$A$3:$J$30,4,FALSE()),0)</f>
        <v>0.01</v>
      </c>
      <c r="AF45" s="27" t="n">
        <f aca="false">IF(A45="","",AB45+AE45)</f>
        <v>0.079</v>
      </c>
      <c r="AG45" s="27" t="n">
        <f aca="false">IF(A45="","",S45+AF45)</f>
        <v>0.36722</v>
      </c>
      <c r="AH45" s="1" t="str">
        <f aca="false">IF(A45="","",IF(AF45&gt;0,"ACV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6" customFormat="false" ht="27.75" hidden="false" customHeight="true" outlineLevel="0" collapsed="false">
      <c r="A46" s="31" t="s">
        <v>490</v>
      </c>
      <c r="B46" s="31" t="s">
        <v>464</v>
      </c>
      <c r="C46" s="31" t="s">
        <v>454</v>
      </c>
      <c r="D46" s="31" t="s">
        <v>490</v>
      </c>
      <c r="E46" s="31" t="n">
        <v>1000</v>
      </c>
      <c r="F46" s="31"/>
      <c r="G46" s="31"/>
      <c r="H46" s="31"/>
      <c r="I46" s="31"/>
      <c r="J46" s="31" t="n">
        <f aca="false">IFERROR(SUM(E46,G46,I46)/1000,"")</f>
        <v>1</v>
      </c>
      <c r="K46" s="32" t="n">
        <f aca="false">$E$4</f>
        <v>100</v>
      </c>
      <c r="L46" s="31" t="n">
        <f aca="false">IF(J46="","",J46/1000*K46*(1+$E$5/100))</f>
        <v>0.105</v>
      </c>
      <c r="M46" s="31" t="n">
        <f aca="false">IF(J46="","",J46/1000*$E$6)</f>
        <v>9.5E-005</v>
      </c>
      <c r="N46" s="32" t="n">
        <f aca="false">IF(C46="ampoule verre",$E$12,IF(C46="poche PEA",$E$13,$E$11))</f>
        <v>10</v>
      </c>
      <c r="O46" s="32" t="n">
        <f aca="false">IF(C46="ampoule verre",$E$8,IF(C46="poche PEA",$E$9,$E$7))</f>
        <v>7.1</v>
      </c>
      <c r="P46" s="31" t="n">
        <f aca="false">N46/1000*O46*(1+$E$5/100)</f>
        <v>0.07455</v>
      </c>
      <c r="Q46" s="32" t="n">
        <f aca="false">$E$14</f>
        <v>3</v>
      </c>
      <c r="R46" s="31" t="n">
        <f aca="false">Q46/1000*$E$10</f>
        <v>0.00348</v>
      </c>
      <c r="S46" s="31" t="n">
        <f aca="false">IF(J46="","",SUM(L46:M46,P46,R46))</f>
        <v>0.183125</v>
      </c>
      <c r="T46" s="31" t="str">
        <f aca="false">IF(OR(J46="",K46=$E$4),"Élevé - FE PA générique",IF(W46&lt;&gt;"","À vérifier","Moyen"))</f>
        <v>Élevé - FE PA générique</v>
      </c>
      <c r="U46" s="31" t="s">
        <v>455</v>
      </c>
      <c r="V46" s="31" t="s">
        <v>456</v>
      </c>
      <c r="W46" s="31"/>
      <c r="X46" s="1" t="str">
        <f aca="false">IF(A46="","",IF(OR(ISNUMBER(SEARCH("poche",C46)),ISNUMBER(SEARCH("ampoule",C46)),ISNUMBER(SEARCH("plastique",C46))),"Prêt à être dilué / administré (hypothèse)","Reconstitution nécessaire (hypothèse)"))</f>
        <v>Reconstitution nécessaire (hypothèse)</v>
      </c>
      <c r="Y46" s="1" t="str">
        <f aca="false">IF(A46="","",IF(ISNUMBER(SEARCH("Reconstitution",X46)),"Flacon/poudre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6" s="1" t="n">
        <f aca="false">IF(A46="","",IF(ISNUMBER(SEARCH("Reconstitution",X46)),1,0))</f>
        <v>1</v>
      </c>
      <c r="AA46" s="1" t="str">
        <f aca="false">IF(Z46&gt;0,"SERINGUE_PP_24ML","")</f>
        <v>SERINGUE_PP_24ML</v>
      </c>
      <c r="AB46" s="27" t="n">
        <f aca="false">IF(Z46&gt;0,Z46*VLOOKUP(AA46,FACTEURS_ITEMS!$A$3:$J$30,4,FALSE()),0)</f>
        <v>0.069</v>
      </c>
      <c r="AC46" s="1" t="n">
        <f aca="false">IF(A46="","",IF(ISNUMBER(SEARCH("Reconstitution",X46)),1,0))</f>
        <v>1</v>
      </c>
      <c r="AD46" s="1" t="str">
        <f aca="false">IF(AC46&gt;0,"AIGUILLE_RECONSTITUTION","")</f>
        <v>AIGUILLE_RECONSTITUTION</v>
      </c>
      <c r="AE46" s="27" t="n">
        <f aca="false">IF(AC46&gt;0,AC46*VLOOKUP(AD46,FACTEURS_ITEMS!$A$3:$J$30,4,FALSE()),0)</f>
        <v>0.01</v>
      </c>
      <c r="AF46" s="27" t="n">
        <f aca="false">IF(A46="","",AB46+AE46)</f>
        <v>0.079</v>
      </c>
      <c r="AG46" s="27" t="n">
        <f aca="false">IF(A46="","",S46+AF46)</f>
        <v>0.262125</v>
      </c>
      <c r="AH46" s="1" t="str">
        <f aca="false">IF(A46="","",IF(AF46&gt;0,"ACV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7" customFormat="false" ht="27.75" hidden="false" customHeight="true" outlineLevel="0" collapsed="false">
      <c r="A47" s="31" t="s">
        <v>490</v>
      </c>
      <c r="B47" s="31" t="s">
        <v>465</v>
      </c>
      <c r="C47" s="31" t="s">
        <v>454</v>
      </c>
      <c r="D47" s="31" t="s">
        <v>490</v>
      </c>
      <c r="E47" s="31" t="n">
        <v>2000</v>
      </c>
      <c r="F47" s="31"/>
      <c r="G47" s="31"/>
      <c r="H47" s="31"/>
      <c r="I47" s="31"/>
      <c r="J47" s="31" t="n">
        <f aca="false">IFERROR(SUM(E47,G47,I47)/1000,"")</f>
        <v>2</v>
      </c>
      <c r="K47" s="32" t="n">
        <f aca="false">$E$4</f>
        <v>100</v>
      </c>
      <c r="L47" s="31" t="n">
        <f aca="false">IF(J47="","",J47/1000*K47*(1+$E$5/100))</f>
        <v>0.21</v>
      </c>
      <c r="M47" s="31" t="n">
        <f aca="false">IF(J47="","",J47/1000*$E$6)</f>
        <v>0.00019</v>
      </c>
      <c r="N47" s="32" t="n">
        <f aca="false">IF(C47="ampoule verre",$E$12,IF(C47="poche PEA",$E$13,$E$11))</f>
        <v>10</v>
      </c>
      <c r="O47" s="32" t="n">
        <f aca="false">IF(C47="ampoule verre",$E$8,IF(C47="poche PEA",$E$9,$E$7))</f>
        <v>7.1</v>
      </c>
      <c r="P47" s="31" t="n">
        <f aca="false">N47/1000*O47*(1+$E$5/100)</f>
        <v>0.07455</v>
      </c>
      <c r="Q47" s="32" t="n">
        <f aca="false">$E$14</f>
        <v>3</v>
      </c>
      <c r="R47" s="31" t="n">
        <f aca="false">Q47/1000*$E$10</f>
        <v>0.00348</v>
      </c>
      <c r="S47" s="31" t="n">
        <f aca="false">IF(J47="","",SUM(L47:M47,P47,R47))</f>
        <v>0.28822</v>
      </c>
      <c r="T47" s="31" t="str">
        <f aca="false">IF(OR(J47="",K47=$E$4),"Élevé - FE PA générique",IF(W47&lt;&gt;"","À vérifier","Moyen"))</f>
        <v>Élevé - FE PA générique</v>
      </c>
      <c r="U47" s="31" t="s">
        <v>455</v>
      </c>
      <c r="V47" s="31" t="s">
        <v>456</v>
      </c>
      <c r="W47" s="31"/>
      <c r="X47" s="1" t="str">
        <f aca="false">IF(A47="","",IF(OR(ISNUMBER(SEARCH("poche",C47)),ISNUMBER(SEARCH("ampoule",C47)),ISNUMBER(SEARCH("plastique",C47))),"Prêt à être dilué / administré (hypothèse)","Reconstitution nécessaire (hypothèse)"))</f>
        <v>Reconstitution nécessaire (hypothèse)</v>
      </c>
      <c r="Y47" s="1" t="str">
        <f aca="false">IF(A47="","",IF(ISNUMBER(SEARCH("Reconstitution",X47)),"Flacon/poudre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7" s="1" t="n">
        <f aca="false">IF(A47="","",IF(ISNUMBER(SEARCH("Reconstitution",X47)),1,0))</f>
        <v>1</v>
      </c>
      <c r="AA47" s="1" t="str">
        <f aca="false">IF(Z47&gt;0,"SERINGUE_PP_24ML","")</f>
        <v>SERINGUE_PP_24ML</v>
      </c>
      <c r="AB47" s="27" t="n">
        <f aca="false">IF(Z47&gt;0,Z47*VLOOKUP(AA47,FACTEURS_ITEMS!$A$3:$J$30,4,FALSE()),0)</f>
        <v>0.069</v>
      </c>
      <c r="AC47" s="1" t="n">
        <f aca="false">IF(A47="","",IF(ISNUMBER(SEARCH("Reconstitution",X47)),1,0))</f>
        <v>1</v>
      </c>
      <c r="AD47" s="1" t="str">
        <f aca="false">IF(AC47&gt;0,"AIGUILLE_RECONSTITUTION","")</f>
        <v>AIGUILLE_RECONSTITUTION</v>
      </c>
      <c r="AE47" s="27" t="n">
        <f aca="false">IF(AC47&gt;0,AC47*VLOOKUP(AD47,FACTEURS_ITEMS!$A$3:$J$30,4,FALSE()),0)</f>
        <v>0.01</v>
      </c>
      <c r="AF47" s="27" t="n">
        <f aca="false">IF(A47="","",AB47+AE47)</f>
        <v>0.079</v>
      </c>
      <c r="AG47" s="27" t="n">
        <f aca="false">IF(A47="","",S47+AF47)</f>
        <v>0.36722</v>
      </c>
      <c r="AH47" s="1" t="str">
        <f aca="false">IF(A47="","",IF(AF47&gt;0,"ACV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8" customFormat="false" ht="27.75" hidden="false" customHeight="true" outlineLevel="0" collapsed="false">
      <c r="A48" s="31" t="s">
        <v>491</v>
      </c>
      <c r="B48" s="31" t="s">
        <v>492</v>
      </c>
      <c r="C48" s="31" t="s">
        <v>454</v>
      </c>
      <c r="D48" s="31" t="s">
        <v>491</v>
      </c>
      <c r="E48" s="31" t="n">
        <v>750</v>
      </c>
      <c r="F48" s="31"/>
      <c r="G48" s="31"/>
      <c r="H48" s="31"/>
      <c r="I48" s="31"/>
      <c r="J48" s="31" t="n">
        <f aca="false">IFERROR(SUM(E48,G48,I48)/1000,"")</f>
        <v>0.75</v>
      </c>
      <c r="K48" s="32" t="n">
        <f aca="false">$E$4</f>
        <v>100</v>
      </c>
      <c r="L48" s="31" t="n">
        <f aca="false">IF(J48="","",J48/1000*K48*(1+$E$5/100))</f>
        <v>0.07875</v>
      </c>
      <c r="M48" s="31" t="n">
        <f aca="false">IF(J48="","",J48/1000*$E$6)</f>
        <v>7.125E-005</v>
      </c>
      <c r="N48" s="32" t="n">
        <f aca="false">IF(C48="ampoule verre",$E$12,IF(C48="poche PEA",$E$13,$E$11))</f>
        <v>10</v>
      </c>
      <c r="O48" s="32" t="n">
        <f aca="false">IF(C48="ampoule verre",$E$8,IF(C48="poche PEA",$E$9,$E$7))</f>
        <v>7.1</v>
      </c>
      <c r="P48" s="31" t="n">
        <f aca="false">N48/1000*O48*(1+$E$5/100)</f>
        <v>0.07455</v>
      </c>
      <c r="Q48" s="32" t="n">
        <f aca="false">$E$14</f>
        <v>3</v>
      </c>
      <c r="R48" s="31" t="n">
        <f aca="false">Q48/1000*$E$10</f>
        <v>0.00348</v>
      </c>
      <c r="S48" s="31" t="n">
        <f aca="false">IF(J48="","",SUM(L48:M48,P48,R48))</f>
        <v>0.15685125</v>
      </c>
      <c r="T48" s="31" t="str">
        <f aca="false">IF(OR(J48="",K48=$E$4),"Élevé - FE PA générique",IF(W48&lt;&gt;"","À vérifier","Moyen"))</f>
        <v>Élevé - FE PA générique</v>
      </c>
      <c r="U48" s="31" t="s">
        <v>493</v>
      </c>
      <c r="V48" s="31" t="s">
        <v>456</v>
      </c>
      <c r="W48" s="31"/>
      <c r="X48" s="1" t="str">
        <f aca="false">IF(A48="","",IF(OR(ISNUMBER(SEARCH("poche",C48)),ISNUMBER(SEARCH("ampoule",C48)),ISNUMBER(SEARCH("plastique",C48))),"Prêt à être dilué / administré (hypothèse)","Reconstitution nécessaire (hypothèse)"))</f>
        <v>Reconstitution nécessaire (hypothèse)</v>
      </c>
      <c r="Y48" s="1" t="str">
        <f aca="false">IF(A48="","",IF(ISNUMBER(SEARCH("Reconstitution",X48)),"Flacon/poudre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8" s="1" t="n">
        <f aca="false">IF(A48="","",IF(ISNUMBER(SEARCH("Reconstitution",X48)),1,0))</f>
        <v>1</v>
      </c>
      <c r="AA48" s="1" t="str">
        <f aca="false">IF(Z48&gt;0,"SERINGUE_PP_24ML","")</f>
        <v>SERINGUE_PP_24ML</v>
      </c>
      <c r="AB48" s="27" t="n">
        <f aca="false">IF(Z48&gt;0,Z48*VLOOKUP(AA48,FACTEURS_ITEMS!$A$3:$J$30,4,FALSE()),0)</f>
        <v>0.069</v>
      </c>
      <c r="AC48" s="1" t="n">
        <f aca="false">IF(A48="","",IF(ISNUMBER(SEARCH("Reconstitution",X48)),1,0))</f>
        <v>1</v>
      </c>
      <c r="AD48" s="1" t="str">
        <f aca="false">IF(AC48&gt;0,"AIGUILLE_RECONSTITUTION","")</f>
        <v>AIGUILLE_RECONSTITUTION</v>
      </c>
      <c r="AE48" s="27" t="n">
        <f aca="false">IF(AC48&gt;0,AC48*VLOOKUP(AD48,FACTEURS_ITEMS!$A$3:$J$30,4,FALSE()),0)</f>
        <v>0.01</v>
      </c>
      <c r="AF48" s="27" t="n">
        <f aca="false">IF(A48="","",AB48+AE48)</f>
        <v>0.079</v>
      </c>
      <c r="AG48" s="27" t="n">
        <f aca="false">IF(A48="","",S48+AF48)</f>
        <v>0.23585125</v>
      </c>
      <c r="AH48" s="1" t="str">
        <f aca="false">IF(A48="","",IF(AF48&gt;0,"ACV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49" customFormat="false" ht="27.75" hidden="false" customHeight="true" outlineLevel="0" collapsed="false">
      <c r="A49" s="31" t="s">
        <v>491</v>
      </c>
      <c r="B49" s="31" t="s">
        <v>494</v>
      </c>
      <c r="C49" s="31" t="s">
        <v>454</v>
      </c>
      <c r="D49" s="31" t="s">
        <v>491</v>
      </c>
      <c r="E49" s="31" t="n">
        <v>1500</v>
      </c>
      <c r="F49" s="31"/>
      <c r="G49" s="31"/>
      <c r="H49" s="31"/>
      <c r="I49" s="31"/>
      <c r="J49" s="31" t="n">
        <f aca="false">IFERROR(SUM(E49,G49,I49)/1000,"")</f>
        <v>1.5</v>
      </c>
      <c r="K49" s="32" t="n">
        <f aca="false">$E$4</f>
        <v>100</v>
      </c>
      <c r="L49" s="31" t="n">
        <f aca="false">IF(J49="","",J49/1000*K49*(1+$E$5/100))</f>
        <v>0.1575</v>
      </c>
      <c r="M49" s="31" t="n">
        <f aca="false">IF(J49="","",J49/1000*$E$6)</f>
        <v>0.0001425</v>
      </c>
      <c r="N49" s="32" t="n">
        <f aca="false">IF(C49="ampoule verre",$E$12,IF(C49="poche PEA",$E$13,$E$11))</f>
        <v>10</v>
      </c>
      <c r="O49" s="32" t="n">
        <f aca="false">IF(C49="ampoule verre",$E$8,IF(C49="poche PEA",$E$9,$E$7))</f>
        <v>7.1</v>
      </c>
      <c r="P49" s="31" t="n">
        <f aca="false">N49/1000*O49*(1+$E$5/100)</f>
        <v>0.07455</v>
      </c>
      <c r="Q49" s="32" t="n">
        <f aca="false">$E$14</f>
        <v>3</v>
      </c>
      <c r="R49" s="31" t="n">
        <f aca="false">Q49/1000*$E$10</f>
        <v>0.00348</v>
      </c>
      <c r="S49" s="31" t="n">
        <f aca="false">IF(J49="","",SUM(L49:M49,P49,R49))</f>
        <v>0.2356725</v>
      </c>
      <c r="T49" s="31" t="str">
        <f aca="false">IF(OR(J49="",K49=$E$4),"Élevé - FE PA générique",IF(W49&lt;&gt;"","À vérifier","Moyen"))</f>
        <v>Élevé - FE PA générique</v>
      </c>
      <c r="U49" s="31" t="s">
        <v>493</v>
      </c>
      <c r="V49" s="31" t="s">
        <v>456</v>
      </c>
      <c r="W49" s="31"/>
      <c r="X49" s="1" t="str">
        <f aca="false">IF(A49="","",IF(OR(ISNUMBER(SEARCH("poche",C49)),ISNUMBER(SEARCH("ampoule",C49)),ISNUMBER(SEARCH("plastique",C49))),"Prêt à être dilué / administré (hypothèse)","Reconstitution nécessaire (hypothèse)"))</f>
        <v>Reconstitution nécessaire (hypothèse)</v>
      </c>
      <c r="Y49" s="1" t="str">
        <f aca="false">IF(A49="","",IF(ISNUMBER(SEARCH("Reconstitution",X49)),"Flacon/poudre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49" s="1" t="n">
        <f aca="false">IF(A49="","",IF(ISNUMBER(SEARCH("Reconstitution",X49)),1,0))</f>
        <v>1</v>
      </c>
      <c r="AA49" s="1" t="str">
        <f aca="false">IF(Z49&gt;0,"SERINGUE_PP_24ML","")</f>
        <v>SERINGUE_PP_24ML</v>
      </c>
      <c r="AB49" s="27" t="n">
        <f aca="false">IF(Z49&gt;0,Z49*VLOOKUP(AA49,FACTEURS_ITEMS!$A$3:$J$30,4,FALSE()),0)</f>
        <v>0.069</v>
      </c>
      <c r="AC49" s="1" t="n">
        <f aca="false">IF(A49="","",IF(ISNUMBER(SEARCH("Reconstitution",X49)),1,0))</f>
        <v>1</v>
      </c>
      <c r="AD49" s="1" t="str">
        <f aca="false">IF(AC49&gt;0,"AIGUILLE_RECONSTITUTION","")</f>
        <v>AIGUILLE_RECONSTITUTION</v>
      </c>
      <c r="AE49" s="27" t="n">
        <f aca="false">IF(AC49&gt;0,AC49*VLOOKUP(AD49,FACTEURS_ITEMS!$A$3:$J$30,4,FALSE()),0)</f>
        <v>0.01</v>
      </c>
      <c r="AF49" s="27" t="n">
        <f aca="false">IF(A49="","",AB49+AE49)</f>
        <v>0.079</v>
      </c>
      <c r="AG49" s="27" t="n">
        <f aca="false">IF(A49="","",S49+AF49)</f>
        <v>0.3146725</v>
      </c>
      <c r="AH49" s="1" t="str">
        <f aca="false">IF(A49="","",IF(AF49&gt;0,"ACV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0" customFormat="false" ht="41.25" hidden="false" customHeight="true" outlineLevel="0" collapsed="false">
      <c r="A50" s="31" t="s">
        <v>495</v>
      </c>
      <c r="B50" s="31" t="s">
        <v>496</v>
      </c>
      <c r="C50" s="31" t="s">
        <v>497</v>
      </c>
      <c r="D50" s="31" t="s">
        <v>495</v>
      </c>
      <c r="E50" s="31" t="n">
        <v>200</v>
      </c>
      <c r="F50" s="31"/>
      <c r="G50" s="31"/>
      <c r="H50" s="31"/>
      <c r="I50" s="31"/>
      <c r="J50" s="31" t="n">
        <f aca="false">IFERROR(SUM(E50,G50,I50)/1000,"")</f>
        <v>0.2</v>
      </c>
      <c r="K50" s="32" t="n">
        <f aca="false">$E$4</f>
        <v>100</v>
      </c>
      <c r="L50" s="31" t="n">
        <f aca="false">IF(J50="","",J50/1000*K50*(1+$E$5/100))</f>
        <v>0.021</v>
      </c>
      <c r="M50" s="31" t="n">
        <f aca="false">IF(J50="","",J50/1000*$E$6)</f>
        <v>1.9E-005</v>
      </c>
      <c r="N50" s="32" t="n">
        <f aca="false">IF(C50="ampoule verre",$E$12,IF(C50="poche PEA",$E$13,$E$11))</f>
        <v>20</v>
      </c>
      <c r="O50" s="32" t="n">
        <f aca="false">IF(C50="ampoule verre",$E$8,IF(C50="poche PEA",$E$9,$E$7))</f>
        <v>4.2</v>
      </c>
      <c r="P50" s="31" t="n">
        <f aca="false">N50/1000*O50*(1+$E$5/100)</f>
        <v>0.0882</v>
      </c>
      <c r="Q50" s="32" t="n">
        <f aca="false">$E$14</f>
        <v>3</v>
      </c>
      <c r="R50" s="31" t="n">
        <f aca="false">Q50/1000*$E$10</f>
        <v>0.00348</v>
      </c>
      <c r="S50" s="31" t="n">
        <f aca="false">IF(J50="","",SUM(L50:M50,P50,R50))</f>
        <v>0.112699</v>
      </c>
      <c r="T50" s="31" t="str">
        <f aca="false">IF(OR(J50="",K50=$E$4),"Élevé - FE PA générique",IF(W50&lt;&gt;"","À vérifier","Moyen"))</f>
        <v>Élevé - FE PA générique</v>
      </c>
      <c r="U50" s="31" t="s">
        <v>493</v>
      </c>
      <c r="V50" s="31" t="s">
        <v>456</v>
      </c>
      <c r="W50" s="31" t="s">
        <v>498</v>
      </c>
      <c r="X50" s="1" t="str">
        <f aca="false">IF(A50="","",IF(OR(ISNUMBER(SEARCH("poche",C50)),ISNUMBER(SEARCH("ampoule",C50)),ISNUMBER(SEARCH("plastique",C50))),"Prêt à être dilué / administré (hypothèse)","Reconstitution nécessaire (hypothèse)"))</f>
        <v>Prêt à être dilué / administré (hypothèse)</v>
      </c>
      <c r="Y50" s="1" t="str">
        <f aca="false">IF(A50="","",IF(ISNUMBER(SEARCH("Reconstitution",X50)),"Flacon/poudre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0" s="1" t="n">
        <f aca="false">IF(A50="","",IF(ISNUMBER(SEARCH("Reconstitution",X50)),1,0))</f>
        <v>0</v>
      </c>
      <c r="AA50" s="1" t="str">
        <f aca="false">IF(Z50&gt;0,"SERINGUE_PP_24ML","")</f>
        <v/>
      </c>
      <c r="AB50" s="27" t="n">
        <f aca="false">IF(Z50&gt;0,Z50*VLOOKUP(AA50,FACTEURS_ITEMS!$A$3:$J$30,4,FALSE()),0)</f>
        <v>0</v>
      </c>
      <c r="AC50" s="1" t="n">
        <f aca="false">IF(A50="","",IF(ISNUMBER(SEARCH("Reconstitution",X50)),1,0))</f>
        <v>0</v>
      </c>
      <c r="AD50" s="1" t="str">
        <f aca="false">IF(AC50&gt;0,"AIGUILLE_RECONSTITUTION","")</f>
        <v/>
      </c>
      <c r="AE50" s="27" t="n">
        <f aca="false">IF(AC50&gt;0,AC50*VLOOKUP(AD50,FACTEURS_ITEMS!$A$3:$J$30,4,FALSE()),0)</f>
        <v>0</v>
      </c>
      <c r="AF50" s="27" t="n">
        <f aca="false">IF(A50="","",AB50+AE50)</f>
        <v>0</v>
      </c>
      <c r="AG50" s="27" t="n">
        <f aca="false">IF(A50="","",S50+AF50)</f>
        <v>0.112699</v>
      </c>
      <c r="AH50" s="1" t="str">
        <f aca="false">IF(A50="","",IF(AF50&gt;0,"ACV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1" customFormat="false" ht="41.25" hidden="false" customHeight="true" outlineLevel="0" collapsed="false">
      <c r="A51" s="31" t="s">
        <v>495</v>
      </c>
      <c r="B51" s="31" t="s">
        <v>499</v>
      </c>
      <c r="C51" s="31" t="s">
        <v>497</v>
      </c>
      <c r="D51" s="31" t="s">
        <v>495</v>
      </c>
      <c r="E51" s="31" t="n">
        <v>400</v>
      </c>
      <c r="F51" s="31"/>
      <c r="G51" s="31"/>
      <c r="H51" s="31"/>
      <c r="I51" s="31"/>
      <c r="J51" s="31" t="n">
        <f aca="false">IFERROR(SUM(E51,G51,I51)/1000,"")</f>
        <v>0.4</v>
      </c>
      <c r="K51" s="32" t="n">
        <f aca="false">$E$4</f>
        <v>100</v>
      </c>
      <c r="L51" s="31" t="n">
        <f aca="false">IF(J51="","",J51/1000*K51*(1+$E$5/100))</f>
        <v>0.042</v>
      </c>
      <c r="M51" s="31" t="n">
        <f aca="false">IF(J51="","",J51/1000*$E$6)</f>
        <v>3.8E-005</v>
      </c>
      <c r="N51" s="32" t="n">
        <f aca="false">IF(C51="ampoule verre",$E$12,IF(C51="poche PEA",$E$13,$E$11))</f>
        <v>20</v>
      </c>
      <c r="O51" s="32" t="n">
        <f aca="false">IF(C51="ampoule verre",$E$8,IF(C51="poche PEA",$E$9,$E$7))</f>
        <v>4.2</v>
      </c>
      <c r="P51" s="31" t="n">
        <f aca="false">N51/1000*O51*(1+$E$5/100)</f>
        <v>0.0882</v>
      </c>
      <c r="Q51" s="32" t="n">
        <f aca="false">$E$14</f>
        <v>3</v>
      </c>
      <c r="R51" s="31" t="n">
        <f aca="false">Q51/1000*$E$10</f>
        <v>0.00348</v>
      </c>
      <c r="S51" s="31" t="n">
        <f aca="false">IF(J51="","",SUM(L51:M51,P51,R51))</f>
        <v>0.133718</v>
      </c>
      <c r="T51" s="31" t="str">
        <f aca="false">IF(OR(J51="",K51=$E$4),"Élevé - FE PA générique",IF(W51&lt;&gt;"","À vérifier","Moyen"))</f>
        <v>Élevé - FE PA générique</v>
      </c>
      <c r="U51" s="31" t="s">
        <v>493</v>
      </c>
      <c r="V51" s="31" t="s">
        <v>456</v>
      </c>
      <c r="W51" s="31" t="s">
        <v>498</v>
      </c>
      <c r="X51" s="1" t="str">
        <f aca="false">IF(A51="","",IF(OR(ISNUMBER(SEARCH("poche",C51)),ISNUMBER(SEARCH("ampoule",C51)),ISNUMBER(SEARCH("plastique",C51))),"Prêt à être dilué / administré (hypothèse)","Reconstitution nécessaire (hypothèse)"))</f>
        <v>Prêt à être dilué / administré (hypothèse)</v>
      </c>
      <c r="Y51" s="1" t="str">
        <f aca="false">IF(A51="","",IF(ISNUMBER(SEARCH("Reconstitution",X51)),"Flacon/poudre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1" s="1" t="n">
        <f aca="false">IF(A51="","",IF(ISNUMBER(SEARCH("Reconstitution",X51)),1,0))</f>
        <v>0</v>
      </c>
      <c r="AA51" s="1" t="str">
        <f aca="false">IF(Z51&gt;0,"SERINGUE_PP_24ML","")</f>
        <v/>
      </c>
      <c r="AB51" s="27" t="n">
        <f aca="false">IF(Z51&gt;0,Z51*VLOOKUP(AA51,FACTEURS_ITEMS!$A$3:$J$30,4,FALSE()),0)</f>
        <v>0</v>
      </c>
      <c r="AC51" s="1" t="n">
        <f aca="false">IF(A51="","",IF(ISNUMBER(SEARCH("Reconstitution",X51)),1,0))</f>
        <v>0</v>
      </c>
      <c r="AD51" s="1" t="str">
        <f aca="false">IF(AC51&gt;0,"AIGUILLE_RECONSTITUTION","")</f>
        <v/>
      </c>
      <c r="AE51" s="27" t="n">
        <f aca="false">IF(AC51&gt;0,AC51*VLOOKUP(AD51,FACTEURS_ITEMS!$A$3:$J$30,4,FALSE()),0)</f>
        <v>0</v>
      </c>
      <c r="AF51" s="27" t="n">
        <f aca="false">IF(A51="","",AB51+AE51)</f>
        <v>0</v>
      </c>
      <c r="AG51" s="27" t="n">
        <f aca="false">IF(A51="","",S51+AF51)</f>
        <v>0.133718</v>
      </c>
      <c r="AH51" s="1" t="str">
        <f aca="false">IF(A51="","",IF(AF51&gt;0,"ACV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2" customFormat="false" ht="27.75" hidden="false" customHeight="true" outlineLevel="0" collapsed="false">
      <c r="A52" s="31" t="s">
        <v>500</v>
      </c>
      <c r="B52" s="31" t="s">
        <v>501</v>
      </c>
      <c r="C52" s="31" t="s">
        <v>460</v>
      </c>
      <c r="D52" s="31" t="s">
        <v>500</v>
      </c>
      <c r="E52" s="31" t="n">
        <v>600</v>
      </c>
      <c r="F52" s="31"/>
      <c r="G52" s="31"/>
      <c r="H52" s="31"/>
      <c r="I52" s="31"/>
      <c r="J52" s="31" t="n">
        <f aca="false">IFERROR(SUM(E52,G52,I52)/1000,"")</f>
        <v>0.6</v>
      </c>
      <c r="K52" s="32" t="n">
        <f aca="false">$E$4</f>
        <v>100</v>
      </c>
      <c r="L52" s="31" t="n">
        <f aca="false">IF(J52="","",J52/1000*K52*(1+$E$5/100))</f>
        <v>0.063</v>
      </c>
      <c r="M52" s="31" t="n">
        <f aca="false">IF(J52="","",J52/1000*$E$6)</f>
        <v>5.7E-005</v>
      </c>
      <c r="N52" s="32" t="n">
        <f aca="false">IF(C52="ampoule verre",$E$12,IF(C52="poche PEA",$E$13,$E$11))</f>
        <v>5</v>
      </c>
      <c r="O52" s="32" t="n">
        <f aca="false">IF(C52="ampoule verre",$E$8,IF(C52="poche PEA",$E$9,$E$7))</f>
        <v>5</v>
      </c>
      <c r="P52" s="31" t="n">
        <f aca="false">N52/1000*O52*(1+$E$5/100)</f>
        <v>0.02625</v>
      </c>
      <c r="Q52" s="32" t="n">
        <f aca="false">$E$14</f>
        <v>3</v>
      </c>
      <c r="R52" s="31" t="n">
        <f aca="false">Q52/1000*$E$10</f>
        <v>0.00348</v>
      </c>
      <c r="S52" s="31" t="n">
        <f aca="false">IF(J52="","",SUM(L52:M52,P52,R52))</f>
        <v>0.092787</v>
      </c>
      <c r="T52" s="31" t="str">
        <f aca="false">IF(OR(J52="",K52=$E$4),"Élevé - FE PA générique",IF(W52&lt;&gt;"","À vérifier","Moyen"))</f>
        <v>Élevé - FE PA générique</v>
      </c>
      <c r="U52" s="31" t="s">
        <v>455</v>
      </c>
      <c r="V52" s="31" t="s">
        <v>456</v>
      </c>
      <c r="W52" s="31"/>
      <c r="X52" s="1" t="str">
        <f aca="false">IF(A52="","",IF(OR(ISNUMBER(SEARCH("poche",C52)),ISNUMBER(SEARCH("ampoule",C52)),ISNUMBER(SEARCH("plastique",C52))),"Prêt à être dilué / administré (hypothèse)","Reconstitution nécessaire (hypothèse)"))</f>
        <v>Prêt à être dilué / administré (hypothèse)</v>
      </c>
      <c r="Y52" s="1" t="str">
        <f aca="false">IF(A52="","",IF(ISNUMBER(SEARCH("Reconstitution",X52)),"Flacon/poudre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2" s="1" t="n">
        <f aca="false">IF(A52="","",IF(ISNUMBER(SEARCH("Reconstitution",X52)),1,0))</f>
        <v>0</v>
      </c>
      <c r="AA52" s="1" t="str">
        <f aca="false">IF(Z52&gt;0,"SERINGUE_PP_24ML","")</f>
        <v/>
      </c>
      <c r="AB52" s="27" t="n">
        <f aca="false">IF(Z52&gt;0,Z52*VLOOKUP(AA52,FACTEURS_ITEMS!$A$3:$J$30,4,FALSE()),0)</f>
        <v>0</v>
      </c>
      <c r="AC52" s="1" t="n">
        <f aca="false">IF(A52="","",IF(ISNUMBER(SEARCH("Reconstitution",X52)),1,0))</f>
        <v>0</v>
      </c>
      <c r="AD52" s="1" t="str">
        <f aca="false">IF(AC52&gt;0,"AIGUILLE_RECONSTITUTION","")</f>
        <v/>
      </c>
      <c r="AE52" s="27" t="n">
        <f aca="false">IF(AC52&gt;0,AC52*VLOOKUP(AD52,FACTEURS_ITEMS!$A$3:$J$30,4,FALSE()),0)</f>
        <v>0</v>
      </c>
      <c r="AF52" s="27" t="n">
        <f aca="false">IF(A52="","",AB52+AE52)</f>
        <v>0</v>
      </c>
      <c r="AG52" s="27" t="n">
        <f aca="false">IF(A52="","",S52+AF52)</f>
        <v>0.092787</v>
      </c>
      <c r="AH52" s="1" t="str">
        <f aca="false">IF(A52="","",IF(AF52&gt;0,"ACV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3" customFormat="false" ht="27.75" hidden="false" customHeight="true" outlineLevel="0" collapsed="false">
      <c r="A53" s="31" t="s">
        <v>500</v>
      </c>
      <c r="B53" s="31" t="s">
        <v>502</v>
      </c>
      <c r="C53" s="31" t="s">
        <v>460</v>
      </c>
      <c r="D53" s="31" t="s">
        <v>500</v>
      </c>
      <c r="E53" s="31" t="n">
        <v>900</v>
      </c>
      <c r="F53" s="31"/>
      <c r="G53" s="31"/>
      <c r="H53" s="31"/>
      <c r="I53" s="31"/>
      <c r="J53" s="31" t="n">
        <f aca="false">IFERROR(SUM(E53,G53,I53)/1000,"")</f>
        <v>0.9</v>
      </c>
      <c r="K53" s="32" t="n">
        <f aca="false">$E$4</f>
        <v>100</v>
      </c>
      <c r="L53" s="31" t="n">
        <f aca="false">IF(J53="","",J53/1000*K53*(1+$E$5/100))</f>
        <v>0.0945</v>
      </c>
      <c r="M53" s="31" t="n">
        <f aca="false">IF(J53="","",J53/1000*$E$6)</f>
        <v>8.55E-005</v>
      </c>
      <c r="N53" s="32" t="n">
        <f aca="false">IF(C53="ampoule verre",$E$12,IF(C53="poche PEA",$E$13,$E$11))</f>
        <v>5</v>
      </c>
      <c r="O53" s="32" t="n">
        <f aca="false">IF(C53="ampoule verre",$E$8,IF(C53="poche PEA",$E$9,$E$7))</f>
        <v>5</v>
      </c>
      <c r="P53" s="31" t="n">
        <f aca="false">N53/1000*O53*(1+$E$5/100)</f>
        <v>0.02625</v>
      </c>
      <c r="Q53" s="32" t="n">
        <f aca="false">$E$14</f>
        <v>3</v>
      </c>
      <c r="R53" s="31" t="n">
        <f aca="false">Q53/1000*$E$10</f>
        <v>0.00348</v>
      </c>
      <c r="S53" s="31" t="n">
        <f aca="false">IF(J53="","",SUM(L53:M53,P53,R53))</f>
        <v>0.1243155</v>
      </c>
      <c r="T53" s="31" t="str">
        <f aca="false">IF(OR(J53="",K53=$E$4),"Élevé - FE PA générique",IF(W53&lt;&gt;"","À vérifier","Moyen"))</f>
        <v>Élevé - FE PA générique</v>
      </c>
      <c r="U53" s="31" t="s">
        <v>455</v>
      </c>
      <c r="V53" s="31" t="s">
        <v>456</v>
      </c>
      <c r="W53" s="31"/>
      <c r="X53" s="1" t="str">
        <f aca="false">IF(A53="","",IF(OR(ISNUMBER(SEARCH("poche",C53)),ISNUMBER(SEARCH("ampoule",C53)),ISNUMBER(SEARCH("plastique",C53))),"Prêt à être dilué / administré (hypothèse)","Reconstitution nécessaire (hypothèse)"))</f>
        <v>Prêt à être dilué / administré (hypothèse)</v>
      </c>
      <c r="Y53" s="1" t="str">
        <f aca="false">IF(A53="","",IF(ISNUMBER(SEARCH("Reconstitution",X53)),"Flacon/poudre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3" s="1" t="n">
        <f aca="false">IF(A53="","",IF(ISNUMBER(SEARCH("Reconstitution",X53)),1,0))</f>
        <v>0</v>
      </c>
      <c r="AA53" s="1" t="str">
        <f aca="false">IF(Z53&gt;0,"SERINGUE_PP_24ML","")</f>
        <v/>
      </c>
      <c r="AB53" s="27" t="n">
        <f aca="false">IF(Z53&gt;0,Z53*VLOOKUP(AA53,FACTEURS_ITEMS!$A$3:$J$30,4,FALSE()),0)</f>
        <v>0</v>
      </c>
      <c r="AC53" s="1" t="n">
        <f aca="false">IF(A53="","",IF(ISNUMBER(SEARCH("Reconstitution",X53)),1,0))</f>
        <v>0</v>
      </c>
      <c r="AD53" s="1" t="str">
        <f aca="false">IF(AC53&gt;0,"AIGUILLE_RECONSTITUTION","")</f>
        <v/>
      </c>
      <c r="AE53" s="27" t="n">
        <f aca="false">IF(AC53&gt;0,AC53*VLOOKUP(AD53,FACTEURS_ITEMS!$A$3:$J$30,4,FALSE()),0)</f>
        <v>0</v>
      </c>
      <c r="AF53" s="27" t="n">
        <f aca="false">IF(A53="","",AB53+AE53)</f>
        <v>0</v>
      </c>
      <c r="AG53" s="27" t="n">
        <f aca="false">IF(A53="","",S53+AF53)</f>
        <v>0.1243155</v>
      </c>
      <c r="AH53" s="1" t="str">
        <f aca="false">IF(A53="","",IF(AF53&gt;0,"ACV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4" customFormat="false" ht="41.25" hidden="false" customHeight="true" outlineLevel="0" collapsed="false">
      <c r="A54" s="31" t="s">
        <v>503</v>
      </c>
      <c r="B54" s="31" t="s">
        <v>504</v>
      </c>
      <c r="C54" s="31" t="s">
        <v>454</v>
      </c>
      <c r="D54" s="31" t="s">
        <v>505</v>
      </c>
      <c r="E54" s="31" t="n">
        <v>80</v>
      </c>
      <c r="F54" s="31"/>
      <c r="G54" s="31"/>
      <c r="H54" s="31"/>
      <c r="I54" s="31"/>
      <c r="J54" s="31" t="n">
        <f aca="false">IFERROR(SUM(E54,G54,I54)/1000,"")</f>
        <v>0.08</v>
      </c>
      <c r="K54" s="32" t="n">
        <f aca="false">$E$4</f>
        <v>100</v>
      </c>
      <c r="L54" s="31" t="n">
        <f aca="false">IF(J54="","",J54/1000*K54*(1+$E$5/100))</f>
        <v>0.0084</v>
      </c>
      <c r="M54" s="31" t="n">
        <f aca="false">IF(J54="","",J54/1000*$E$6)</f>
        <v>7.6E-006</v>
      </c>
      <c r="N54" s="32" t="n">
        <f aca="false">IF(C54="ampoule verre",$E$12,IF(C54="poche PEA",$E$13,$E$11))</f>
        <v>10</v>
      </c>
      <c r="O54" s="32" t="n">
        <f aca="false">IF(C54="ampoule verre",$E$8,IF(C54="poche PEA",$E$9,$E$7))</f>
        <v>7.1</v>
      </c>
      <c r="P54" s="31" t="n">
        <f aca="false">N54/1000*O54*(1+$E$5/100)</f>
        <v>0.07455</v>
      </c>
      <c r="Q54" s="32" t="n">
        <f aca="false">$E$14</f>
        <v>3</v>
      </c>
      <c r="R54" s="31" t="n">
        <f aca="false">Q54/1000*$E$10</f>
        <v>0.00348</v>
      </c>
      <c r="S54" s="31" t="n">
        <f aca="false">IF(J54="","",SUM(L54:M54,P54,R54))</f>
        <v>0.0864376</v>
      </c>
      <c r="T54" s="31" t="str">
        <f aca="false">IF(OR(J54="",K54=$E$4),"Élevé - FE PA générique",IF(W54&lt;&gt;"","À vérifier","Moyen"))</f>
        <v>Élevé - FE PA générique</v>
      </c>
      <c r="U54" s="31" t="s">
        <v>506</v>
      </c>
      <c r="V54" s="31" t="s">
        <v>456</v>
      </c>
      <c r="W54" s="31" t="s">
        <v>479</v>
      </c>
      <c r="X54" s="1" t="str">
        <f aca="false">IF(A54="","",IF(OR(ISNUMBER(SEARCH("poche",C54)),ISNUMBER(SEARCH("ampoule",C54)),ISNUMBER(SEARCH("plastique",C54))),"Prêt à être dilué / administré (hypothèse)","Reconstitution nécessaire (hypothèse)"))</f>
        <v>Reconstitution nécessaire (hypothèse)</v>
      </c>
      <c r="Y54" s="1" t="str">
        <f aca="false">IF(A54="","",IF(ISNUMBER(SEARCH("Reconstitution",X54)),"Flacon/poudre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4" s="1" t="n">
        <f aca="false">IF(A54="","",IF(ISNUMBER(SEARCH("Reconstitution",X54)),1,0))</f>
        <v>1</v>
      </c>
      <c r="AA54" s="1" t="str">
        <f aca="false">IF(Z54&gt;0,"SERINGUE_PP_24ML","")</f>
        <v>SERINGUE_PP_24ML</v>
      </c>
      <c r="AB54" s="27" t="n">
        <f aca="false">IF(Z54&gt;0,Z54*VLOOKUP(AA54,FACTEURS_ITEMS!$A$3:$J$30,4,FALSE()),0)</f>
        <v>0.069</v>
      </c>
      <c r="AC54" s="1" t="n">
        <f aca="false">IF(A54="","",IF(ISNUMBER(SEARCH("Reconstitution",X54)),1,0))</f>
        <v>1</v>
      </c>
      <c r="AD54" s="1" t="str">
        <f aca="false">IF(AC54&gt;0,"AIGUILLE_RECONSTITUTION","")</f>
        <v>AIGUILLE_RECONSTITUTION</v>
      </c>
      <c r="AE54" s="27" t="n">
        <f aca="false">IF(AC54&gt;0,AC54*VLOOKUP(AD54,FACTEURS_ITEMS!$A$3:$J$30,4,FALSE()),0)</f>
        <v>0.01</v>
      </c>
      <c r="AF54" s="27" t="n">
        <f aca="false">IF(A54="","",AB54+AE54)</f>
        <v>0.079</v>
      </c>
      <c r="AG54" s="27" t="n">
        <f aca="false">IF(A54="","",S54+AF54)</f>
        <v>0.1654376</v>
      </c>
      <c r="AH54" s="1" t="str">
        <f aca="false">IF(A54="","",IF(AF54&gt;0,"ACV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5" customFormat="false" ht="41.25" hidden="false" customHeight="true" outlineLevel="0" collapsed="false">
      <c r="A55" s="31" t="s">
        <v>503</v>
      </c>
      <c r="B55" s="31" t="s">
        <v>507</v>
      </c>
      <c r="C55" s="31" t="s">
        <v>454</v>
      </c>
      <c r="D55" s="31" t="s">
        <v>505</v>
      </c>
      <c r="E55" s="31" t="n">
        <v>160</v>
      </c>
      <c r="F55" s="31"/>
      <c r="G55" s="31"/>
      <c r="H55" s="31"/>
      <c r="I55" s="31"/>
      <c r="J55" s="31" t="n">
        <f aca="false">IFERROR(SUM(E55,G55,I55)/1000,"")</f>
        <v>0.16</v>
      </c>
      <c r="K55" s="32" t="n">
        <f aca="false">$E$4</f>
        <v>100</v>
      </c>
      <c r="L55" s="31" t="n">
        <f aca="false">IF(J55="","",J55/1000*K55*(1+$E$5/100))</f>
        <v>0.0168</v>
      </c>
      <c r="M55" s="31" t="n">
        <f aca="false">IF(J55="","",J55/1000*$E$6)</f>
        <v>1.52E-005</v>
      </c>
      <c r="N55" s="32" t="n">
        <f aca="false">IF(C55="ampoule verre",$E$12,IF(C55="poche PEA",$E$13,$E$11))</f>
        <v>10</v>
      </c>
      <c r="O55" s="32" t="n">
        <f aca="false">IF(C55="ampoule verre",$E$8,IF(C55="poche PEA",$E$9,$E$7))</f>
        <v>7.1</v>
      </c>
      <c r="P55" s="31" t="n">
        <f aca="false">N55/1000*O55*(1+$E$5/100)</f>
        <v>0.07455</v>
      </c>
      <c r="Q55" s="32" t="n">
        <f aca="false">$E$14</f>
        <v>3</v>
      </c>
      <c r="R55" s="31" t="n">
        <f aca="false">Q55/1000*$E$10</f>
        <v>0.00348</v>
      </c>
      <c r="S55" s="31" t="n">
        <f aca="false">IF(J55="","",SUM(L55:M55,P55,R55))</f>
        <v>0.0948452</v>
      </c>
      <c r="T55" s="31" t="str">
        <f aca="false">IF(OR(J55="",K55=$E$4),"Élevé - FE PA générique",IF(W55&lt;&gt;"","À vérifier","Moyen"))</f>
        <v>Élevé - FE PA générique</v>
      </c>
      <c r="U55" s="31" t="s">
        <v>506</v>
      </c>
      <c r="V55" s="31" t="s">
        <v>456</v>
      </c>
      <c r="W55" s="31" t="s">
        <v>479</v>
      </c>
      <c r="X55" s="1" t="str">
        <f aca="false">IF(A55="","",IF(OR(ISNUMBER(SEARCH("poche",C55)),ISNUMBER(SEARCH("ampoule",C55)),ISNUMBER(SEARCH("plastique",C55))),"Prêt à être dilué / administré (hypothèse)","Reconstitution nécessaire (hypothèse)"))</f>
        <v>Reconstitution nécessaire (hypothèse)</v>
      </c>
      <c r="Y55" s="1" t="str">
        <f aca="false">IF(A55="","",IF(ISNUMBER(SEARCH("Reconstitution",X55)),"Flacon/poudre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5" s="1" t="n">
        <f aca="false">IF(A55="","",IF(ISNUMBER(SEARCH("Reconstitution",X55)),1,0))</f>
        <v>1</v>
      </c>
      <c r="AA55" s="1" t="str">
        <f aca="false">IF(Z55&gt;0,"SERINGUE_PP_24ML","")</f>
        <v>SERINGUE_PP_24ML</v>
      </c>
      <c r="AB55" s="27" t="n">
        <f aca="false">IF(Z55&gt;0,Z55*VLOOKUP(AA55,FACTEURS_ITEMS!$A$3:$J$30,4,FALSE()),0)</f>
        <v>0.069</v>
      </c>
      <c r="AC55" s="1" t="n">
        <f aca="false">IF(A55="","",IF(ISNUMBER(SEARCH("Reconstitution",X55)),1,0))</f>
        <v>1</v>
      </c>
      <c r="AD55" s="1" t="str">
        <f aca="false">IF(AC55&gt;0,"AIGUILLE_RECONSTITUTION","")</f>
        <v>AIGUILLE_RECONSTITUTION</v>
      </c>
      <c r="AE55" s="27" t="n">
        <f aca="false">IF(AC55&gt;0,AC55*VLOOKUP(AD55,FACTEURS_ITEMS!$A$3:$J$30,4,FALSE()),0)</f>
        <v>0.01</v>
      </c>
      <c r="AF55" s="27" t="n">
        <f aca="false">IF(A55="","",AB55+AE55)</f>
        <v>0.079</v>
      </c>
      <c r="AG55" s="27" t="n">
        <f aca="false">IF(A55="","",S55+AF55)</f>
        <v>0.1738452</v>
      </c>
      <c r="AH55" s="1" t="str">
        <f aca="false">IF(A55="","",IF(AF55&gt;0,"ACV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6" customFormat="false" ht="41.25" hidden="false" customHeight="true" outlineLevel="0" collapsed="false">
      <c r="A56" s="31" t="s">
        <v>503</v>
      </c>
      <c r="B56" s="31" t="s">
        <v>508</v>
      </c>
      <c r="C56" s="31" t="s">
        <v>454</v>
      </c>
      <c r="D56" s="31" t="s">
        <v>505</v>
      </c>
      <c r="E56" s="31" t="n">
        <v>360</v>
      </c>
      <c r="F56" s="31"/>
      <c r="G56" s="31"/>
      <c r="H56" s="31"/>
      <c r="I56" s="31"/>
      <c r="J56" s="31" t="n">
        <f aca="false">IFERROR(SUM(E56,G56,I56)/1000,"")</f>
        <v>0.36</v>
      </c>
      <c r="K56" s="32" t="n">
        <f aca="false">$E$4</f>
        <v>100</v>
      </c>
      <c r="L56" s="31" t="n">
        <f aca="false">IF(J56="","",J56/1000*K56*(1+$E$5/100))</f>
        <v>0.0378</v>
      </c>
      <c r="M56" s="31" t="n">
        <f aca="false">IF(J56="","",J56/1000*$E$6)</f>
        <v>3.42E-005</v>
      </c>
      <c r="N56" s="32" t="n">
        <f aca="false">IF(C56="ampoule verre",$E$12,IF(C56="poche PEA",$E$13,$E$11))</f>
        <v>10</v>
      </c>
      <c r="O56" s="32" t="n">
        <f aca="false">IF(C56="ampoule verre",$E$8,IF(C56="poche PEA",$E$9,$E$7))</f>
        <v>7.1</v>
      </c>
      <c r="P56" s="31" t="n">
        <f aca="false">N56/1000*O56*(1+$E$5/100)</f>
        <v>0.07455</v>
      </c>
      <c r="Q56" s="32" t="n">
        <f aca="false">$E$14</f>
        <v>3</v>
      </c>
      <c r="R56" s="31" t="n">
        <f aca="false">Q56/1000*$E$10</f>
        <v>0.00348</v>
      </c>
      <c r="S56" s="31" t="n">
        <f aca="false">IF(J56="","",SUM(L56:M56,P56,R56))</f>
        <v>0.1158642</v>
      </c>
      <c r="T56" s="31" t="str">
        <f aca="false">IF(OR(J56="",K56=$E$4),"Élevé - FE PA générique",IF(W56&lt;&gt;"","À vérifier","Moyen"))</f>
        <v>Élevé - FE PA générique</v>
      </c>
      <c r="U56" s="31" t="s">
        <v>506</v>
      </c>
      <c r="V56" s="31" t="s">
        <v>456</v>
      </c>
      <c r="W56" s="31" t="s">
        <v>479</v>
      </c>
      <c r="X56" s="1" t="str">
        <f aca="false">IF(A56="","",IF(OR(ISNUMBER(SEARCH("poche",C56)),ISNUMBER(SEARCH("ampoule",C56)),ISNUMBER(SEARCH("plastique",C56))),"Prêt à être dilué / administré (hypothèse)","Reconstitution nécessaire (hypothèse)"))</f>
        <v>Reconstitution nécessaire (hypothèse)</v>
      </c>
      <c r="Y56" s="1" t="str">
        <f aca="false">IF(A56="","",IF(ISNUMBER(SEARCH("Reconstitution",X56)),"Flacon/poudre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6" s="1" t="n">
        <f aca="false">IF(A56="","",IF(ISNUMBER(SEARCH("Reconstitution",X56)),1,0))</f>
        <v>1</v>
      </c>
      <c r="AA56" s="1" t="str">
        <f aca="false">IF(Z56&gt;0,"SERINGUE_PP_24ML","")</f>
        <v>SERINGUE_PP_24ML</v>
      </c>
      <c r="AB56" s="27" t="n">
        <f aca="false">IF(Z56&gt;0,Z56*VLOOKUP(AA56,FACTEURS_ITEMS!$A$3:$J$30,4,FALSE()),0)</f>
        <v>0.069</v>
      </c>
      <c r="AC56" s="1" t="n">
        <f aca="false">IF(A56="","",IF(ISNUMBER(SEARCH("Reconstitution",X56)),1,0))</f>
        <v>1</v>
      </c>
      <c r="AD56" s="1" t="str">
        <f aca="false">IF(AC56&gt;0,"AIGUILLE_RECONSTITUTION","")</f>
        <v>AIGUILLE_RECONSTITUTION</v>
      </c>
      <c r="AE56" s="27" t="n">
        <f aca="false">IF(AC56&gt;0,AC56*VLOOKUP(AD56,FACTEURS_ITEMS!$A$3:$J$30,4,FALSE()),0)</f>
        <v>0.01</v>
      </c>
      <c r="AF56" s="27" t="n">
        <f aca="false">IF(A56="","",AB56+AE56)</f>
        <v>0.079</v>
      </c>
      <c r="AG56" s="27" t="n">
        <f aca="false">IF(A56="","",S56+AF56)</f>
        <v>0.1948642</v>
      </c>
      <c r="AH56" s="1" t="str">
        <f aca="false">IF(A56="","",IF(AF56&gt;0,"ACV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7" customFormat="false" ht="27.75" hidden="false" customHeight="true" outlineLevel="0" collapsed="false">
      <c r="A57" s="31" t="s">
        <v>509</v>
      </c>
      <c r="B57" s="31" t="s">
        <v>510</v>
      </c>
      <c r="C57" s="31" t="s">
        <v>460</v>
      </c>
      <c r="D57" s="31" t="s">
        <v>511</v>
      </c>
      <c r="E57" s="31" t="n">
        <v>400</v>
      </c>
      <c r="F57" s="31" t="s">
        <v>512</v>
      </c>
      <c r="G57" s="31" t="n">
        <v>80</v>
      </c>
      <c r="H57" s="31"/>
      <c r="I57" s="31"/>
      <c r="J57" s="31" t="n">
        <f aca="false">IFERROR(SUM(E57,G57,I57)/1000,"")</f>
        <v>0.48</v>
      </c>
      <c r="K57" s="32" t="n">
        <f aca="false">$E$4</f>
        <v>100</v>
      </c>
      <c r="L57" s="31" t="n">
        <f aca="false">IF(J57="","",J57/1000*K57*(1+$E$5/100))</f>
        <v>0.0504</v>
      </c>
      <c r="M57" s="31" t="n">
        <f aca="false">IF(J57="","",J57/1000*$E$6)</f>
        <v>4.56E-005</v>
      </c>
      <c r="N57" s="32" t="n">
        <f aca="false">IF(C57="ampoule verre",$E$12,IF(C57="poche PEA",$E$13,$E$11))</f>
        <v>5</v>
      </c>
      <c r="O57" s="32" t="n">
        <f aca="false">IF(C57="ampoule verre",$E$8,IF(C57="poche PEA",$E$9,$E$7))</f>
        <v>5</v>
      </c>
      <c r="P57" s="31" t="n">
        <f aca="false">N57/1000*O57*(1+$E$5/100)</f>
        <v>0.02625</v>
      </c>
      <c r="Q57" s="32" t="n">
        <f aca="false">$E$14</f>
        <v>3</v>
      </c>
      <c r="R57" s="31" t="n">
        <f aca="false">Q57/1000*$E$10</f>
        <v>0.00348</v>
      </c>
      <c r="S57" s="31" t="n">
        <f aca="false">IF(J57="","",SUM(L57:M57,P57,R57))</f>
        <v>0.0801756</v>
      </c>
      <c r="T57" s="31" t="str">
        <f aca="false">IF(OR(J57="",K57=$E$4),"Élevé - FE PA générique",IF(W57&lt;&gt;"","À vérifier","Moyen"))</f>
        <v>Élevé - FE PA générique</v>
      </c>
      <c r="U57" s="31" t="s">
        <v>455</v>
      </c>
      <c r="V57" s="31" t="s">
        <v>456</v>
      </c>
      <c r="W57" s="31"/>
      <c r="X57" s="1" t="str">
        <f aca="false">IF(A57="","",IF(OR(ISNUMBER(SEARCH("poche",C57)),ISNUMBER(SEARCH("ampoule",C57)),ISNUMBER(SEARCH("plastique",C57))),"Prêt à être dilué / administré (hypothèse)","Reconstitution nécessaire (hypothèse)"))</f>
        <v>Prêt à être dilué / administré (hypothèse)</v>
      </c>
      <c r="Y57" s="1" t="str">
        <f aca="false">IF(A57="","",IF(ISNUMBER(SEARCH("Reconstitution",X57)),"Flacon/poudre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57" s="1" t="n">
        <f aca="false">IF(A57="","",IF(ISNUMBER(SEARCH("Reconstitution",X57)),1,0))</f>
        <v>0</v>
      </c>
      <c r="AA57" s="1" t="str">
        <f aca="false">IF(Z57&gt;0,"SERINGUE_PP_24ML","")</f>
        <v/>
      </c>
      <c r="AB57" s="27" t="n">
        <f aca="false">IF(Z57&gt;0,Z57*VLOOKUP(AA57,FACTEURS_ITEMS!$A$3:$J$30,4,FALSE()),0)</f>
        <v>0</v>
      </c>
      <c r="AC57" s="1" t="n">
        <f aca="false">IF(A57="","",IF(ISNUMBER(SEARCH("Reconstitution",X57)),1,0))</f>
        <v>0</v>
      </c>
      <c r="AD57" s="1" t="str">
        <f aca="false">IF(AC57&gt;0,"AIGUILLE_RECONSTITUTION","")</f>
        <v/>
      </c>
      <c r="AE57" s="27" t="n">
        <f aca="false">IF(AC57&gt;0,AC57*VLOOKUP(AD57,FACTEURS_ITEMS!$A$3:$J$30,4,FALSE()),0)</f>
        <v>0</v>
      </c>
      <c r="AF57" s="27" t="n">
        <f aca="false">IF(A57="","",AB57+AE57)</f>
        <v>0</v>
      </c>
      <c r="AG57" s="27" t="n">
        <f aca="false">IF(A57="","",S57+AF57)</f>
        <v>0.0801756</v>
      </c>
      <c r="AH57" s="1" t="str">
        <f aca="false">IF(A57="","",IF(AF57&gt;0,"ACV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58" customFormat="false" ht="27.75" hidden="false" customHeight="true" outlineLevel="0" collapsed="false">
      <c r="A58" s="31" t="s">
        <v>513</v>
      </c>
      <c r="B58" s="31" t="s">
        <v>457</v>
      </c>
      <c r="C58" s="31" t="s">
        <v>454</v>
      </c>
      <c r="D58" s="31" t="s">
        <v>513</v>
      </c>
      <c r="E58" s="31" t="n">
        <v>500</v>
      </c>
      <c r="F58" s="31"/>
      <c r="G58" s="31"/>
      <c r="H58" s="31"/>
      <c r="I58" s="31"/>
      <c r="J58" s="31" t="n">
        <f aca="false">IFERROR(SUM(E58,G58,I58)/1000,"")</f>
        <v>0.5</v>
      </c>
      <c r="K58" s="32" t="n">
        <f aca="false">$E$4</f>
        <v>100</v>
      </c>
      <c r="L58" s="31" t="n">
        <f aca="false">IF(J58="","",J58/1000*K58*(1+$E$5/100))</f>
        <v>0.0525</v>
      </c>
      <c r="M58" s="31" t="n">
        <f aca="false">IF(J58="","",J58/1000*$E$6)</f>
        <v>4.75E-005</v>
      </c>
      <c r="N58" s="32" t="n">
        <f aca="false">IF(C58="ampoule verre",$E$12,IF(C58="poche PEA",$E$13,$E$11))</f>
        <v>10</v>
      </c>
      <c r="O58" s="32" t="n">
        <f aca="false">IF(C58="ampoule verre",$E$8,IF(C58="poche PEA",$E$9,$E$7))</f>
        <v>7.1</v>
      </c>
      <c r="P58" s="31" t="n">
        <f aca="false">N58/1000*O58*(1+$E$5/100)</f>
        <v>0.07455</v>
      </c>
      <c r="Q58" s="32" t="n">
        <f aca="false">$E$14</f>
        <v>3</v>
      </c>
      <c r="R58" s="31" t="n">
        <f aca="false">Q58/1000*$E$10</f>
        <v>0.00348</v>
      </c>
      <c r="S58" s="31" t="n">
        <f aca="false">IF(J58="","",SUM(L58:M58,P58,R58))</f>
        <v>0.1305775</v>
      </c>
      <c r="T58" s="31" t="str">
        <f aca="false">IF(OR(J58="",K58=$E$4),"Élevé - FE PA générique",IF(W58&lt;&gt;"","À vérifier","Moyen"))</f>
        <v>Élevé - FE PA générique</v>
      </c>
      <c r="U58" s="31" t="s">
        <v>455</v>
      </c>
      <c r="V58" s="31" t="s">
        <v>456</v>
      </c>
      <c r="W58" s="31"/>
      <c r="X58" s="1" t="str">
        <f aca="false">IF(A58="","",IF(OR(ISNUMBER(SEARCH("poche",C58)),ISNUMBER(SEARCH("ampoule",C58)),ISNUMBER(SEARCH("plastique",C58))),"Prêt à être dilué / administré (hypothèse)","Reconstitution nécessaire (hypothèse)"))</f>
        <v>Reconstitution nécessaire (hypothèse)</v>
      </c>
      <c r="Y58" s="1" t="str">
        <f aca="false">IF(A58="","",IF(ISNUMBER(SEARCH("Reconstitution",X58)),"Flacon/poudre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8" s="1" t="n">
        <f aca="false">IF(A58="","",IF(ISNUMBER(SEARCH("Reconstitution",X58)),1,0))</f>
        <v>1</v>
      </c>
      <c r="AA58" s="1" t="str">
        <f aca="false">IF(Z58&gt;0,"SERINGUE_PP_24ML","")</f>
        <v>SERINGUE_PP_24ML</v>
      </c>
      <c r="AB58" s="27" t="n">
        <f aca="false">IF(Z58&gt;0,Z58*VLOOKUP(AA58,FACTEURS_ITEMS!$A$3:$J$30,4,FALSE()),0)</f>
        <v>0.069</v>
      </c>
      <c r="AC58" s="1" t="n">
        <f aca="false">IF(A58="","",IF(ISNUMBER(SEARCH("Reconstitution",X58)),1,0))</f>
        <v>1</v>
      </c>
      <c r="AD58" s="1" t="str">
        <f aca="false">IF(AC58&gt;0,"AIGUILLE_RECONSTITUTION","")</f>
        <v>AIGUILLE_RECONSTITUTION</v>
      </c>
      <c r="AE58" s="27" t="n">
        <f aca="false">IF(AC58&gt;0,AC58*VLOOKUP(AD58,FACTEURS_ITEMS!$A$3:$J$30,4,FALSE()),0)</f>
        <v>0.01</v>
      </c>
      <c r="AF58" s="27" t="n">
        <f aca="false">IF(A58="","",AB58+AE58)</f>
        <v>0.079</v>
      </c>
      <c r="AG58" s="27" t="n">
        <f aca="false">IF(A58="","",S58+AF58)</f>
        <v>0.2095775</v>
      </c>
      <c r="AH58" s="1" t="str">
        <f aca="false">IF(A58="","",IF(AF58&gt;0,"ACV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59" customFormat="false" ht="27.75" hidden="false" customHeight="true" outlineLevel="0" collapsed="false">
      <c r="A59" s="31" t="s">
        <v>514</v>
      </c>
      <c r="B59" s="31" t="s">
        <v>515</v>
      </c>
      <c r="C59" s="31" t="s">
        <v>454</v>
      </c>
      <c r="D59" s="31" t="s">
        <v>514</v>
      </c>
      <c r="E59" s="31" t="n">
        <v>350</v>
      </c>
      <c r="F59" s="31"/>
      <c r="G59" s="31"/>
      <c r="H59" s="31"/>
      <c r="I59" s="31"/>
      <c r="J59" s="31" t="n">
        <f aca="false">IFERROR(SUM(E59,G59,I59)/1000,"")</f>
        <v>0.35</v>
      </c>
      <c r="K59" s="32" t="n">
        <f aca="false">$E$4</f>
        <v>100</v>
      </c>
      <c r="L59" s="31" t="n">
        <f aca="false">IF(J59="","",J59/1000*K59*(1+$E$5/100))</f>
        <v>0.03675</v>
      </c>
      <c r="M59" s="31" t="n">
        <f aca="false">IF(J59="","",J59/1000*$E$6)</f>
        <v>3.325E-005</v>
      </c>
      <c r="N59" s="32" t="n">
        <f aca="false">IF(C59="ampoule verre",$E$12,IF(C59="poche PEA",$E$13,$E$11))</f>
        <v>10</v>
      </c>
      <c r="O59" s="32" t="n">
        <f aca="false">IF(C59="ampoule verre",$E$8,IF(C59="poche PEA",$E$9,$E$7))</f>
        <v>7.1</v>
      </c>
      <c r="P59" s="31" t="n">
        <f aca="false">N59/1000*O59*(1+$E$5/100)</f>
        <v>0.07455</v>
      </c>
      <c r="Q59" s="32" t="n">
        <f aca="false">$E$14</f>
        <v>3</v>
      </c>
      <c r="R59" s="31" t="n">
        <f aca="false">Q59/1000*$E$10</f>
        <v>0.00348</v>
      </c>
      <c r="S59" s="31" t="n">
        <f aca="false">IF(J59="","",SUM(L59:M59,P59,R59))</f>
        <v>0.11481325</v>
      </c>
      <c r="T59" s="31" t="str">
        <f aca="false">IF(OR(J59="",K59=$E$4),"Élevé - FE PA générique",IF(W59&lt;&gt;"","À vérifier","Moyen"))</f>
        <v>Élevé - FE PA générique</v>
      </c>
      <c r="U59" s="31" t="s">
        <v>455</v>
      </c>
      <c r="V59" s="31" t="s">
        <v>456</v>
      </c>
      <c r="W59" s="31"/>
      <c r="X59" s="1" t="str">
        <f aca="false">IF(A59="","",IF(OR(ISNUMBER(SEARCH("poche",C59)),ISNUMBER(SEARCH("ampoule",C59)),ISNUMBER(SEARCH("plastique",C59))),"Prêt à être dilué / administré (hypothèse)","Reconstitution nécessaire (hypothèse)"))</f>
        <v>Reconstitution nécessaire (hypothèse)</v>
      </c>
      <c r="Y59" s="1" t="str">
        <f aca="false">IF(A59="","",IF(ISNUMBER(SEARCH("Reconstitution",X59)),"Flacon/poudre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59" s="1" t="n">
        <f aca="false">IF(A59="","",IF(ISNUMBER(SEARCH("Reconstitution",X59)),1,0))</f>
        <v>1</v>
      </c>
      <c r="AA59" s="1" t="str">
        <f aca="false">IF(Z59&gt;0,"SERINGUE_PP_24ML","")</f>
        <v>SERINGUE_PP_24ML</v>
      </c>
      <c r="AB59" s="27" t="n">
        <f aca="false">IF(Z59&gt;0,Z59*VLOOKUP(AA59,FACTEURS_ITEMS!$A$3:$J$30,4,FALSE()),0)</f>
        <v>0.069</v>
      </c>
      <c r="AC59" s="1" t="n">
        <f aca="false">IF(A59="","",IF(ISNUMBER(SEARCH("Reconstitution",X59)),1,0))</f>
        <v>1</v>
      </c>
      <c r="AD59" s="1" t="str">
        <f aca="false">IF(AC59&gt;0,"AIGUILLE_RECONSTITUTION","")</f>
        <v>AIGUILLE_RECONSTITUTION</v>
      </c>
      <c r="AE59" s="27" t="n">
        <f aca="false">IF(AC59&gt;0,AC59*VLOOKUP(AD59,FACTEURS_ITEMS!$A$3:$J$30,4,FALSE()),0)</f>
        <v>0.01</v>
      </c>
      <c r="AF59" s="27" t="n">
        <f aca="false">IF(A59="","",AB59+AE59)</f>
        <v>0.079</v>
      </c>
      <c r="AG59" s="27" t="n">
        <f aca="false">IF(A59="","",S59+AF59)</f>
        <v>0.19381325</v>
      </c>
      <c r="AH59" s="1" t="str">
        <f aca="false">IF(A59="","",IF(AF59&gt;0,"ACV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0" customFormat="false" ht="27.75" hidden="false" customHeight="true" outlineLevel="0" collapsed="false">
      <c r="A60" s="31" t="s">
        <v>514</v>
      </c>
      <c r="B60" s="31" t="s">
        <v>457</v>
      </c>
      <c r="C60" s="31" t="s">
        <v>454</v>
      </c>
      <c r="D60" s="31" t="s">
        <v>514</v>
      </c>
      <c r="E60" s="31" t="n">
        <v>500</v>
      </c>
      <c r="F60" s="31"/>
      <c r="G60" s="31"/>
      <c r="H60" s="31"/>
      <c r="I60" s="31"/>
      <c r="J60" s="31" t="n">
        <f aca="false">IFERROR(SUM(E60,G60,I60)/1000,"")</f>
        <v>0.5</v>
      </c>
      <c r="K60" s="32" t="n">
        <f aca="false">$E$4</f>
        <v>100</v>
      </c>
      <c r="L60" s="31" t="n">
        <f aca="false">IF(J60="","",J60/1000*K60*(1+$E$5/100))</f>
        <v>0.0525</v>
      </c>
      <c r="M60" s="31" t="n">
        <f aca="false">IF(J60="","",J60/1000*$E$6)</f>
        <v>4.75E-005</v>
      </c>
      <c r="N60" s="32" t="n">
        <f aca="false">IF(C60="ampoule verre",$E$12,IF(C60="poche PEA",$E$13,$E$11))</f>
        <v>10</v>
      </c>
      <c r="O60" s="32" t="n">
        <f aca="false">IF(C60="ampoule verre",$E$8,IF(C60="poche PEA",$E$9,$E$7))</f>
        <v>7.1</v>
      </c>
      <c r="P60" s="31" t="n">
        <f aca="false">N60/1000*O60*(1+$E$5/100)</f>
        <v>0.07455</v>
      </c>
      <c r="Q60" s="32" t="n">
        <f aca="false">$E$14</f>
        <v>3</v>
      </c>
      <c r="R60" s="31" t="n">
        <f aca="false">Q60/1000*$E$10</f>
        <v>0.00348</v>
      </c>
      <c r="S60" s="31" t="n">
        <f aca="false">IF(J60="","",SUM(L60:M60,P60,R60))</f>
        <v>0.1305775</v>
      </c>
      <c r="T60" s="31" t="str">
        <f aca="false">IF(OR(J60="",K60=$E$4),"Élevé - FE PA générique",IF(W60&lt;&gt;"","À vérifier","Moyen"))</f>
        <v>Élevé - FE PA générique</v>
      </c>
      <c r="U60" s="31" t="s">
        <v>455</v>
      </c>
      <c r="V60" s="31" t="s">
        <v>456</v>
      </c>
      <c r="W60" s="31"/>
      <c r="X60" s="1" t="str">
        <f aca="false">IF(A60="","",IF(OR(ISNUMBER(SEARCH("poche",C60)),ISNUMBER(SEARCH("ampoule",C60)),ISNUMBER(SEARCH("plastique",C60))),"Prêt à être dilué / administré (hypothèse)","Reconstitution nécessaire (hypothèse)"))</f>
        <v>Reconstitution nécessaire (hypothèse)</v>
      </c>
      <c r="Y60" s="1" t="str">
        <f aca="false">IF(A60="","",IF(ISNUMBER(SEARCH("Reconstitution",X60)),"Flacon/poudre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0" s="1" t="n">
        <f aca="false">IF(A60="","",IF(ISNUMBER(SEARCH("Reconstitution",X60)),1,0))</f>
        <v>1</v>
      </c>
      <c r="AA60" s="1" t="str">
        <f aca="false">IF(Z60&gt;0,"SERINGUE_PP_24ML","")</f>
        <v>SERINGUE_PP_24ML</v>
      </c>
      <c r="AB60" s="27" t="n">
        <f aca="false">IF(Z60&gt;0,Z60*VLOOKUP(AA60,FACTEURS_ITEMS!$A$3:$J$30,4,FALSE()),0)</f>
        <v>0.069</v>
      </c>
      <c r="AC60" s="1" t="n">
        <f aca="false">IF(A60="","",IF(ISNUMBER(SEARCH("Reconstitution",X60)),1,0))</f>
        <v>1</v>
      </c>
      <c r="AD60" s="1" t="str">
        <f aca="false">IF(AC60&gt;0,"AIGUILLE_RECONSTITUTION","")</f>
        <v>AIGUILLE_RECONSTITUTION</v>
      </c>
      <c r="AE60" s="27" t="n">
        <f aca="false">IF(AC60&gt;0,AC60*VLOOKUP(AD60,FACTEURS_ITEMS!$A$3:$J$30,4,FALSE()),0)</f>
        <v>0.01</v>
      </c>
      <c r="AF60" s="27" t="n">
        <f aca="false">IF(A60="","",AB60+AE60)</f>
        <v>0.079</v>
      </c>
      <c r="AG60" s="27" t="n">
        <f aca="false">IF(A60="","",S60+AF60)</f>
        <v>0.2095775</v>
      </c>
      <c r="AH60" s="1" t="str">
        <f aca="false">IF(A60="","",IF(AF60&gt;0,"ACV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1" customFormat="false" ht="27.75" hidden="false" customHeight="true" outlineLevel="0" collapsed="false">
      <c r="A61" s="31" t="s">
        <v>516</v>
      </c>
      <c r="B61" s="31" t="s">
        <v>464</v>
      </c>
      <c r="C61" s="31" t="s">
        <v>454</v>
      </c>
      <c r="D61" s="31" t="s">
        <v>516</v>
      </c>
      <c r="E61" s="31" t="n">
        <v>1000</v>
      </c>
      <c r="F61" s="31"/>
      <c r="G61" s="31"/>
      <c r="H61" s="31"/>
      <c r="I61" s="31"/>
      <c r="J61" s="31" t="n">
        <f aca="false">IFERROR(SUM(E61,G61,I61)/1000,"")</f>
        <v>1</v>
      </c>
      <c r="K61" s="32" t="n">
        <f aca="false">$E$4</f>
        <v>100</v>
      </c>
      <c r="L61" s="31" t="n">
        <f aca="false">IF(J61="","",J61/1000*K61*(1+$E$5/100))</f>
        <v>0.105</v>
      </c>
      <c r="M61" s="31" t="n">
        <f aca="false">IF(J61="","",J61/1000*$E$6)</f>
        <v>9.5E-005</v>
      </c>
      <c r="N61" s="32" t="n">
        <f aca="false">IF(C61="ampoule verre",$E$12,IF(C61="poche PEA",$E$13,$E$11))</f>
        <v>10</v>
      </c>
      <c r="O61" s="32" t="n">
        <f aca="false">IF(C61="ampoule verre",$E$8,IF(C61="poche PEA",$E$9,$E$7))</f>
        <v>7.1</v>
      </c>
      <c r="P61" s="31" t="n">
        <f aca="false">N61/1000*O61*(1+$E$5/100)</f>
        <v>0.07455</v>
      </c>
      <c r="Q61" s="32" t="n">
        <f aca="false">$E$14</f>
        <v>3</v>
      </c>
      <c r="R61" s="31" t="n">
        <f aca="false">Q61/1000*$E$10</f>
        <v>0.00348</v>
      </c>
      <c r="S61" s="31" t="n">
        <f aca="false">IF(J61="","",SUM(L61:M61,P61,R61))</f>
        <v>0.183125</v>
      </c>
      <c r="T61" s="31" t="str">
        <f aca="false">IF(OR(J61="",K61=$E$4),"Élevé - FE PA générique",IF(W61&lt;&gt;"","À vérifier","Moyen"))</f>
        <v>Élevé - FE PA générique</v>
      </c>
      <c r="U61" s="31" t="s">
        <v>455</v>
      </c>
      <c r="V61" s="31" t="s">
        <v>456</v>
      </c>
      <c r="W61" s="31"/>
      <c r="X61" s="1" t="str">
        <f aca="false">IF(A61="","",IF(OR(ISNUMBER(SEARCH("poche",C61)),ISNUMBER(SEARCH("ampoule",C61)),ISNUMBER(SEARCH("plastique",C61))),"Prêt à être dilué / administré (hypothèse)","Reconstitution nécessaire (hypothèse)"))</f>
        <v>Reconstitution nécessaire (hypothèse)</v>
      </c>
      <c r="Y61" s="1" t="str">
        <f aca="false">IF(A61="","",IF(ISNUMBER(SEARCH("Reconstitution",X61)),"Flacon/poudre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1" s="1" t="n">
        <f aca="false">IF(A61="","",IF(ISNUMBER(SEARCH("Reconstitution",X61)),1,0))</f>
        <v>1</v>
      </c>
      <c r="AA61" s="1" t="str">
        <f aca="false">IF(Z61&gt;0,"SERINGUE_PP_24ML","")</f>
        <v>SERINGUE_PP_24ML</v>
      </c>
      <c r="AB61" s="27" t="n">
        <f aca="false">IF(Z61&gt;0,Z61*VLOOKUP(AA61,FACTEURS_ITEMS!$A$3:$J$30,4,FALSE()),0)</f>
        <v>0.069</v>
      </c>
      <c r="AC61" s="1" t="n">
        <f aca="false">IF(A61="","",IF(ISNUMBER(SEARCH("Reconstitution",X61)),1,0))</f>
        <v>1</v>
      </c>
      <c r="AD61" s="1" t="str">
        <f aca="false">IF(AC61&gt;0,"AIGUILLE_RECONSTITUTION","")</f>
        <v>AIGUILLE_RECONSTITUTION</v>
      </c>
      <c r="AE61" s="27" t="n">
        <f aca="false">IF(AC61&gt;0,AC61*VLOOKUP(AD61,FACTEURS_ITEMS!$A$3:$J$30,4,FALSE()),0)</f>
        <v>0.01</v>
      </c>
      <c r="AF61" s="27" t="n">
        <f aca="false">IF(A61="","",AB61+AE61)</f>
        <v>0.079</v>
      </c>
      <c r="AG61" s="27" t="n">
        <f aca="false">IF(A61="","",S61+AF61)</f>
        <v>0.262125</v>
      </c>
      <c r="AH61" s="1" t="str">
        <f aca="false">IF(A61="","",IF(AF61&gt;0,"ACV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2" customFormat="false" ht="41.25" hidden="false" customHeight="true" outlineLevel="0" collapsed="false">
      <c r="A62" s="31" t="s">
        <v>517</v>
      </c>
      <c r="B62" s="31" t="s">
        <v>496</v>
      </c>
      <c r="C62" s="31" t="s">
        <v>497</v>
      </c>
      <c r="D62" s="31" t="s">
        <v>517</v>
      </c>
      <c r="E62" s="31" t="n">
        <v>200</v>
      </c>
      <c r="F62" s="31"/>
      <c r="G62" s="31"/>
      <c r="H62" s="31"/>
      <c r="I62" s="31"/>
      <c r="J62" s="31" t="n">
        <f aca="false">IFERROR(SUM(E62,G62,I62)/1000,"")</f>
        <v>0.2</v>
      </c>
      <c r="K62" s="32" t="n">
        <f aca="false">$E$4</f>
        <v>100</v>
      </c>
      <c r="L62" s="31" t="n">
        <f aca="false">IF(J62="","",J62/1000*K62*(1+$E$5/100))</f>
        <v>0.021</v>
      </c>
      <c r="M62" s="31" t="n">
        <f aca="false">IF(J62="","",J62/1000*$E$6)</f>
        <v>1.9E-005</v>
      </c>
      <c r="N62" s="32" t="n">
        <f aca="false">IF(C62="ampoule verre",$E$12,IF(C62="poche PEA",$E$13,$E$11))</f>
        <v>20</v>
      </c>
      <c r="O62" s="32" t="n">
        <f aca="false">IF(C62="ampoule verre",$E$8,IF(C62="poche PEA",$E$9,$E$7))</f>
        <v>4.2</v>
      </c>
      <c r="P62" s="31" t="n">
        <f aca="false">N62/1000*O62*(1+$E$5/100)</f>
        <v>0.0882</v>
      </c>
      <c r="Q62" s="32" t="n">
        <f aca="false">$E$14</f>
        <v>3</v>
      </c>
      <c r="R62" s="31" t="n">
        <f aca="false">Q62/1000*$E$10</f>
        <v>0.00348</v>
      </c>
      <c r="S62" s="31" t="n">
        <f aca="false">IF(J62="","",SUM(L62:M62,P62,R62))</f>
        <v>0.112699</v>
      </c>
      <c r="T62" s="31" t="str">
        <f aca="false">IF(OR(J62="",K62=$E$4),"Élevé - FE PA générique",IF(W62&lt;&gt;"","À vérifier","Moyen"))</f>
        <v>Élevé - FE PA générique</v>
      </c>
      <c r="U62" s="31" t="s">
        <v>455</v>
      </c>
      <c r="V62" s="31" t="s">
        <v>456</v>
      </c>
      <c r="W62" s="31" t="s">
        <v>498</v>
      </c>
      <c r="X62" s="1" t="str">
        <f aca="false">IF(A62="","",IF(OR(ISNUMBER(SEARCH("poche",C62)),ISNUMBER(SEARCH("ampoule",C62)),ISNUMBER(SEARCH("plastique",C62))),"Prêt à être dilué / administré (hypothèse)","Reconstitution nécessaire (hypothèse)"))</f>
        <v>Prêt à être dilué / administré (hypothèse)</v>
      </c>
      <c r="Y62" s="1" t="str">
        <f aca="false">IF(A62="","",IF(ISNUMBER(SEARCH("Reconstitution",X62)),"Flacon/poudre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2" s="1" t="n">
        <f aca="false">IF(A62="","",IF(ISNUMBER(SEARCH("Reconstitution",X62)),1,0))</f>
        <v>0</v>
      </c>
      <c r="AA62" s="1" t="str">
        <f aca="false">IF(Z62&gt;0,"SERINGUE_PP_24ML","")</f>
        <v/>
      </c>
      <c r="AB62" s="27" t="n">
        <f aca="false">IF(Z62&gt;0,Z62*VLOOKUP(AA62,FACTEURS_ITEMS!$A$3:$J$30,4,FALSE()),0)</f>
        <v>0</v>
      </c>
      <c r="AC62" s="1" t="n">
        <f aca="false">IF(A62="","",IF(ISNUMBER(SEARCH("Reconstitution",X62)),1,0))</f>
        <v>0</v>
      </c>
      <c r="AD62" s="1" t="str">
        <f aca="false">IF(AC62&gt;0,"AIGUILLE_RECONSTITUTION","")</f>
        <v/>
      </c>
      <c r="AE62" s="27" t="n">
        <f aca="false">IF(AC62&gt;0,AC62*VLOOKUP(AD62,FACTEURS_ITEMS!$A$3:$J$30,4,FALSE()),0)</f>
        <v>0</v>
      </c>
      <c r="AF62" s="27" t="n">
        <f aca="false">IF(A62="","",AB62+AE62)</f>
        <v>0</v>
      </c>
      <c r="AG62" s="27" t="n">
        <f aca="false">IF(A62="","",S62+AF62)</f>
        <v>0.112699</v>
      </c>
      <c r="AH62" s="1" t="str">
        <f aca="false">IF(A62="","",IF(AF62&gt;0,"ACV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3" customFormat="false" ht="41.25" hidden="false" customHeight="true" outlineLevel="0" collapsed="false">
      <c r="A63" s="31" t="s">
        <v>517</v>
      </c>
      <c r="B63" s="31" t="s">
        <v>499</v>
      </c>
      <c r="C63" s="31" t="s">
        <v>497</v>
      </c>
      <c r="D63" s="31" t="s">
        <v>517</v>
      </c>
      <c r="E63" s="31" t="n">
        <v>400</v>
      </c>
      <c r="F63" s="31"/>
      <c r="G63" s="31"/>
      <c r="H63" s="31"/>
      <c r="I63" s="31"/>
      <c r="J63" s="31" t="n">
        <f aca="false">IFERROR(SUM(E63,G63,I63)/1000,"")</f>
        <v>0.4</v>
      </c>
      <c r="K63" s="32" t="n">
        <f aca="false">$E$4</f>
        <v>100</v>
      </c>
      <c r="L63" s="31" t="n">
        <f aca="false">IF(J63="","",J63/1000*K63*(1+$E$5/100))</f>
        <v>0.042</v>
      </c>
      <c r="M63" s="31" t="n">
        <f aca="false">IF(J63="","",J63/1000*$E$6)</f>
        <v>3.8E-005</v>
      </c>
      <c r="N63" s="32" t="n">
        <f aca="false">IF(C63="ampoule verre",$E$12,IF(C63="poche PEA",$E$13,$E$11))</f>
        <v>20</v>
      </c>
      <c r="O63" s="32" t="n">
        <f aca="false">IF(C63="ampoule verre",$E$8,IF(C63="poche PEA",$E$9,$E$7))</f>
        <v>4.2</v>
      </c>
      <c r="P63" s="31" t="n">
        <f aca="false">N63/1000*O63*(1+$E$5/100)</f>
        <v>0.0882</v>
      </c>
      <c r="Q63" s="32" t="n">
        <f aca="false">$E$14</f>
        <v>3</v>
      </c>
      <c r="R63" s="31" t="n">
        <f aca="false">Q63/1000*$E$10</f>
        <v>0.00348</v>
      </c>
      <c r="S63" s="31" t="n">
        <f aca="false">IF(J63="","",SUM(L63:M63,P63,R63))</f>
        <v>0.133718</v>
      </c>
      <c r="T63" s="31" t="str">
        <f aca="false">IF(OR(J63="",K63=$E$4),"Élevé - FE PA générique",IF(W63&lt;&gt;"","À vérifier","Moyen"))</f>
        <v>Élevé - FE PA générique</v>
      </c>
      <c r="U63" s="31" t="s">
        <v>455</v>
      </c>
      <c r="V63" s="31" t="s">
        <v>456</v>
      </c>
      <c r="W63" s="31" t="s">
        <v>498</v>
      </c>
      <c r="X63" s="1" t="str">
        <f aca="false">IF(A63="","",IF(OR(ISNUMBER(SEARCH("poche",C63)),ISNUMBER(SEARCH("ampoule",C63)),ISNUMBER(SEARCH("plastique",C63))),"Prêt à être dilué / administré (hypothèse)","Reconstitution nécessaire (hypothèse)"))</f>
        <v>Prêt à être dilué / administré (hypothèse)</v>
      </c>
      <c r="Y63" s="1" t="str">
        <f aca="false">IF(A63="","",IF(ISNUMBER(SEARCH("Reconstitution",X63)),"Flacon/poudre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3" s="1" t="n">
        <f aca="false">IF(A63="","",IF(ISNUMBER(SEARCH("Reconstitution",X63)),1,0))</f>
        <v>0</v>
      </c>
      <c r="AA63" s="1" t="str">
        <f aca="false">IF(Z63&gt;0,"SERINGUE_PP_24ML","")</f>
        <v/>
      </c>
      <c r="AB63" s="27" t="n">
        <f aca="false">IF(Z63&gt;0,Z63*VLOOKUP(AA63,FACTEURS_ITEMS!$A$3:$J$30,4,FALSE()),0)</f>
        <v>0</v>
      </c>
      <c r="AC63" s="1" t="n">
        <f aca="false">IF(A63="","",IF(ISNUMBER(SEARCH("Reconstitution",X63)),1,0))</f>
        <v>0</v>
      </c>
      <c r="AD63" s="1" t="str">
        <f aca="false">IF(AC63&gt;0,"AIGUILLE_RECONSTITUTION","")</f>
        <v/>
      </c>
      <c r="AE63" s="27" t="n">
        <f aca="false">IF(AC63&gt;0,AC63*VLOOKUP(AD63,FACTEURS_ITEMS!$A$3:$J$30,4,FALSE()),0)</f>
        <v>0</v>
      </c>
      <c r="AF63" s="27" t="n">
        <f aca="false">IF(A63="","",AB63+AE63)</f>
        <v>0</v>
      </c>
      <c r="AG63" s="27" t="n">
        <f aca="false">IF(A63="","",S63+AF63)</f>
        <v>0.133718</v>
      </c>
      <c r="AH63" s="1" t="str">
        <f aca="false">IF(A63="","",IF(AF63&gt;0,"ACV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4" customFormat="false" ht="27.75" hidden="false" customHeight="true" outlineLevel="0" collapsed="false">
      <c r="A64" s="31" t="s">
        <v>518</v>
      </c>
      <c r="B64" s="31" t="s">
        <v>519</v>
      </c>
      <c r="C64" s="31" t="s">
        <v>454</v>
      </c>
      <c r="D64" s="31" t="s">
        <v>520</v>
      </c>
      <c r="E64" s="31" t="n">
        <v>4000</v>
      </c>
      <c r="F64" s="31"/>
      <c r="G64" s="31"/>
      <c r="H64" s="31"/>
      <c r="I64" s="31"/>
      <c r="J64" s="31" t="n">
        <f aca="false">IFERROR(SUM(E64,G64,I64)/1000,"")</f>
        <v>4</v>
      </c>
      <c r="K64" s="32" t="n">
        <f aca="false">$E$4</f>
        <v>100</v>
      </c>
      <c r="L64" s="31" t="n">
        <f aca="false">IF(J64="","",J64/1000*K64*(1+$E$5/100))</f>
        <v>0.42</v>
      </c>
      <c r="M64" s="31" t="n">
        <f aca="false">IF(J64="","",J64/1000*$E$6)</f>
        <v>0.00038</v>
      </c>
      <c r="N64" s="32" t="n">
        <f aca="false">IF(C64="ampoule verre",$E$12,IF(C64="poche PEA",$E$13,$E$11))</f>
        <v>10</v>
      </c>
      <c r="O64" s="32" t="n">
        <f aca="false">IF(C64="ampoule verre",$E$8,IF(C64="poche PEA",$E$9,$E$7))</f>
        <v>7.1</v>
      </c>
      <c r="P64" s="31" t="n">
        <f aca="false">N64/1000*O64*(1+$E$5/100)</f>
        <v>0.07455</v>
      </c>
      <c r="Q64" s="32" t="n">
        <f aca="false">$E$14</f>
        <v>3</v>
      </c>
      <c r="R64" s="31" t="n">
        <f aca="false">Q64/1000*$E$10</f>
        <v>0.00348</v>
      </c>
      <c r="S64" s="31" t="n">
        <f aca="false">IF(J64="","",SUM(L64:M64,P64,R64))</f>
        <v>0.49841</v>
      </c>
      <c r="T64" s="31" t="str">
        <f aca="false">IF(OR(J64="",K64=$E$4),"Élevé - FE PA générique",IF(W64&lt;&gt;"","À vérifier","Moyen"))</f>
        <v>Élevé - FE PA générique</v>
      </c>
      <c r="U64" s="31" t="s">
        <v>455</v>
      </c>
      <c r="V64" s="31" t="s">
        <v>456</v>
      </c>
      <c r="W64" s="31"/>
      <c r="X64" s="1" t="str">
        <f aca="false">IF(A64="","",IF(OR(ISNUMBER(SEARCH("poche",C64)),ISNUMBER(SEARCH("ampoule",C64)),ISNUMBER(SEARCH("plastique",C64))),"Prêt à être dilué / administré (hypothèse)","Reconstitution nécessaire (hypothèse)"))</f>
        <v>Reconstitution nécessaire (hypothèse)</v>
      </c>
      <c r="Y64" s="1" t="str">
        <f aca="false">IF(A64="","",IF(ISNUMBER(SEARCH("Reconstitution",X64)),"Flacon/poudre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4" s="1" t="n">
        <f aca="false">IF(A64="","",IF(ISNUMBER(SEARCH("Reconstitution",X64)),1,0))</f>
        <v>1</v>
      </c>
      <c r="AA64" s="1" t="str">
        <f aca="false">IF(Z64&gt;0,"SERINGUE_PP_24ML","")</f>
        <v>SERINGUE_PP_24ML</v>
      </c>
      <c r="AB64" s="27" t="n">
        <f aca="false">IF(Z64&gt;0,Z64*VLOOKUP(AA64,FACTEURS_ITEMS!$A$3:$J$30,4,FALSE()),0)</f>
        <v>0.069</v>
      </c>
      <c r="AC64" s="1" t="n">
        <f aca="false">IF(A64="","",IF(ISNUMBER(SEARCH("Reconstitution",X64)),1,0))</f>
        <v>1</v>
      </c>
      <c r="AD64" s="1" t="str">
        <f aca="false">IF(AC64&gt;0,"AIGUILLE_RECONSTITUTION","")</f>
        <v>AIGUILLE_RECONSTITUTION</v>
      </c>
      <c r="AE64" s="27" t="n">
        <f aca="false">IF(AC64&gt;0,AC64*VLOOKUP(AD64,FACTEURS_ITEMS!$A$3:$J$30,4,FALSE()),0)</f>
        <v>0.01</v>
      </c>
      <c r="AF64" s="27" t="n">
        <f aca="false">IF(A64="","",AB64+AE64)</f>
        <v>0.079</v>
      </c>
      <c r="AG64" s="27" t="n">
        <f aca="false">IF(A64="","",S64+AF64)</f>
        <v>0.57741</v>
      </c>
      <c r="AH64" s="1" t="str">
        <f aca="false">IF(A64="","",IF(AF64&gt;0,"ACV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5" customFormat="false" ht="27.75" hidden="false" customHeight="true" outlineLevel="0" collapsed="false">
      <c r="A65" s="31" t="s">
        <v>518</v>
      </c>
      <c r="B65" s="31" t="s">
        <v>521</v>
      </c>
      <c r="C65" s="31" t="s">
        <v>454</v>
      </c>
      <c r="D65" s="31" t="s">
        <v>520</v>
      </c>
      <c r="E65" s="31" t="n">
        <v>8000</v>
      </c>
      <c r="F65" s="31"/>
      <c r="G65" s="31"/>
      <c r="H65" s="31"/>
      <c r="I65" s="31"/>
      <c r="J65" s="31" t="n">
        <f aca="false">IFERROR(SUM(E65,G65,I65)/1000,"")</f>
        <v>8</v>
      </c>
      <c r="K65" s="32" t="n">
        <f aca="false">$E$4</f>
        <v>100</v>
      </c>
      <c r="L65" s="31" t="n">
        <f aca="false">IF(J65="","",J65/1000*K65*(1+$E$5/100))</f>
        <v>0.84</v>
      </c>
      <c r="M65" s="31" t="n">
        <f aca="false">IF(J65="","",J65/1000*$E$6)</f>
        <v>0.00076</v>
      </c>
      <c r="N65" s="32" t="n">
        <f aca="false">IF(C65="ampoule verre",$E$12,IF(C65="poche PEA",$E$13,$E$11))</f>
        <v>10</v>
      </c>
      <c r="O65" s="32" t="n">
        <f aca="false">IF(C65="ampoule verre",$E$8,IF(C65="poche PEA",$E$9,$E$7))</f>
        <v>7.1</v>
      </c>
      <c r="P65" s="31" t="n">
        <f aca="false">N65/1000*O65*(1+$E$5/100)</f>
        <v>0.07455</v>
      </c>
      <c r="Q65" s="32" t="n">
        <f aca="false">$E$14</f>
        <v>3</v>
      </c>
      <c r="R65" s="31" t="n">
        <f aca="false">Q65/1000*$E$10</f>
        <v>0.00348</v>
      </c>
      <c r="S65" s="31" t="n">
        <f aca="false">IF(J65="","",SUM(L65:M65,P65,R65))</f>
        <v>0.91879</v>
      </c>
      <c r="T65" s="31" t="str">
        <f aca="false">IF(OR(J65="",K65=$E$4),"Élevé - FE PA générique",IF(W65&lt;&gt;"","À vérifier","Moyen"))</f>
        <v>Élevé - FE PA générique</v>
      </c>
      <c r="U65" s="31" t="s">
        <v>455</v>
      </c>
      <c r="V65" s="31" t="s">
        <v>456</v>
      </c>
      <c r="W65" s="31"/>
      <c r="X65" s="1" t="str">
        <f aca="false">IF(A65="","",IF(OR(ISNUMBER(SEARCH("poche",C65)),ISNUMBER(SEARCH("ampoule",C65)),ISNUMBER(SEARCH("plastique",C65))),"Prêt à être dilué / administré (hypothèse)","Reconstitution nécessaire (hypothèse)"))</f>
        <v>Reconstitution nécessaire (hypothèse)</v>
      </c>
      <c r="Y65" s="1" t="str">
        <f aca="false">IF(A65="","",IF(ISNUMBER(SEARCH("Reconstitution",X65)),"Flacon/poudre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5" s="1" t="n">
        <f aca="false">IF(A65="","",IF(ISNUMBER(SEARCH("Reconstitution",X65)),1,0))</f>
        <v>1</v>
      </c>
      <c r="AA65" s="1" t="str">
        <f aca="false">IF(Z65&gt;0,"SERINGUE_PP_24ML","")</f>
        <v>SERINGUE_PP_24ML</v>
      </c>
      <c r="AB65" s="27" t="n">
        <f aca="false">IF(Z65&gt;0,Z65*VLOOKUP(AA65,FACTEURS_ITEMS!$A$3:$J$30,4,FALSE()),0)</f>
        <v>0.069</v>
      </c>
      <c r="AC65" s="1" t="n">
        <f aca="false">IF(A65="","",IF(ISNUMBER(SEARCH("Reconstitution",X65)),1,0))</f>
        <v>1</v>
      </c>
      <c r="AD65" s="1" t="str">
        <f aca="false">IF(AC65&gt;0,"AIGUILLE_RECONSTITUTION","")</f>
        <v>AIGUILLE_RECONSTITUTION</v>
      </c>
      <c r="AE65" s="27" t="n">
        <f aca="false">IF(AC65&gt;0,AC65*VLOOKUP(AD65,FACTEURS_ITEMS!$A$3:$J$30,4,FALSE()),0)</f>
        <v>0.01</v>
      </c>
      <c r="AF65" s="27" t="n">
        <f aca="false">IF(A65="","",AB65+AE65)</f>
        <v>0.079</v>
      </c>
      <c r="AG65" s="27" t="n">
        <f aca="false">IF(A65="","",S65+AF65)</f>
        <v>0.99779</v>
      </c>
      <c r="AH65" s="1" t="str">
        <f aca="false">IF(A65="","",IF(AF65&gt;0,"ACV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6" customFormat="false" ht="27.75" hidden="false" customHeight="true" outlineLevel="0" collapsed="false">
      <c r="A66" s="31" t="s">
        <v>522</v>
      </c>
      <c r="B66" s="31" t="s">
        <v>523</v>
      </c>
      <c r="C66" s="31" t="s">
        <v>460</v>
      </c>
      <c r="D66" s="31" t="s">
        <v>522</v>
      </c>
      <c r="E66" s="31" t="n">
        <v>80</v>
      </c>
      <c r="F66" s="31"/>
      <c r="G66" s="31"/>
      <c r="H66" s="31"/>
      <c r="I66" s="31"/>
      <c r="J66" s="31" t="n">
        <f aca="false">IFERROR(SUM(E66,G66,I66)/1000,"")</f>
        <v>0.08</v>
      </c>
      <c r="K66" s="32" t="n">
        <f aca="false">$E$4</f>
        <v>100</v>
      </c>
      <c r="L66" s="31" t="n">
        <f aca="false">IF(J66="","",J66/1000*K66*(1+$E$5/100))</f>
        <v>0.0084</v>
      </c>
      <c r="M66" s="31" t="n">
        <f aca="false">IF(J66="","",J66/1000*$E$6)</f>
        <v>7.6E-006</v>
      </c>
      <c r="N66" s="32" t="n">
        <f aca="false">IF(C66="ampoule verre",$E$12,IF(C66="poche PEA",$E$13,$E$11))</f>
        <v>5</v>
      </c>
      <c r="O66" s="32" t="n">
        <f aca="false">IF(C66="ampoule verre",$E$8,IF(C66="poche PEA",$E$9,$E$7))</f>
        <v>5</v>
      </c>
      <c r="P66" s="31" t="n">
        <f aca="false">N66/1000*O66*(1+$E$5/100)</f>
        <v>0.02625</v>
      </c>
      <c r="Q66" s="32" t="n">
        <f aca="false">$E$14</f>
        <v>3</v>
      </c>
      <c r="R66" s="31" t="n">
        <f aca="false">Q66/1000*$E$10</f>
        <v>0.00348</v>
      </c>
      <c r="S66" s="31" t="n">
        <f aca="false">IF(J66="","",SUM(L66:M66,P66,R66))</f>
        <v>0.0381376</v>
      </c>
      <c r="T66" s="31" t="str">
        <f aca="false">IF(OR(J66="",K66=$E$4),"Élevé - FE PA générique",IF(W66&lt;&gt;"","À vérifier","Moyen"))</f>
        <v>Élevé - FE PA générique</v>
      </c>
      <c r="U66" s="31" t="s">
        <v>455</v>
      </c>
      <c r="V66" s="31" t="s">
        <v>456</v>
      </c>
      <c r="W66" s="31"/>
      <c r="X66" s="1" t="str">
        <f aca="false">IF(A66="","",IF(OR(ISNUMBER(SEARCH("poche",C66)),ISNUMBER(SEARCH("ampoule",C66)),ISNUMBER(SEARCH("plastique",C66))),"Prêt à être dilué / administré (hypothèse)","Reconstitution nécessaire (hypothèse)"))</f>
        <v>Prêt à être dilué / administré (hypothèse)</v>
      </c>
      <c r="Y66" s="1" t="str">
        <f aca="false">IF(A66="","",IF(ISNUMBER(SEARCH("Reconstitution",X66)),"Flacon/poudre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6" s="1" t="n">
        <f aca="false">IF(A66="","",IF(ISNUMBER(SEARCH("Reconstitution",X66)),1,0))</f>
        <v>0</v>
      </c>
      <c r="AA66" s="1" t="str">
        <f aca="false">IF(Z66&gt;0,"SERINGUE_PP_24ML","")</f>
        <v/>
      </c>
      <c r="AB66" s="27" t="n">
        <f aca="false">IF(Z66&gt;0,Z66*VLOOKUP(AA66,FACTEURS_ITEMS!$A$3:$J$30,4,FALSE()),0)</f>
        <v>0</v>
      </c>
      <c r="AC66" s="1" t="n">
        <f aca="false">IF(A66="","",IF(ISNUMBER(SEARCH("Reconstitution",X66)),1,0))</f>
        <v>0</v>
      </c>
      <c r="AD66" s="1" t="str">
        <f aca="false">IF(AC66&gt;0,"AIGUILLE_RECONSTITUTION","")</f>
        <v/>
      </c>
      <c r="AE66" s="27" t="n">
        <f aca="false">IF(AC66&gt;0,AC66*VLOOKUP(AD66,FACTEURS_ITEMS!$A$3:$J$30,4,FALSE()),0)</f>
        <v>0</v>
      </c>
      <c r="AF66" s="27" t="n">
        <f aca="false">IF(A66="","",AB66+AE66)</f>
        <v>0</v>
      </c>
      <c r="AG66" s="27" t="n">
        <f aca="false">IF(A66="","",S66+AF66)</f>
        <v>0.0381376</v>
      </c>
      <c r="AH66" s="1" t="str">
        <f aca="false">IF(A66="","",IF(AF66&gt;0,"ACV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7" customFormat="false" ht="27.75" hidden="false" customHeight="true" outlineLevel="0" collapsed="false">
      <c r="A67" s="31" t="s">
        <v>522</v>
      </c>
      <c r="B67" s="31" t="s">
        <v>524</v>
      </c>
      <c r="C67" s="31" t="s">
        <v>460</v>
      </c>
      <c r="D67" s="31" t="s">
        <v>522</v>
      </c>
      <c r="E67" s="31" t="n">
        <v>160</v>
      </c>
      <c r="F67" s="31"/>
      <c r="G67" s="31"/>
      <c r="H67" s="31"/>
      <c r="I67" s="31"/>
      <c r="J67" s="31" t="n">
        <f aca="false">IFERROR(SUM(E67,G67,I67)/1000,"")</f>
        <v>0.16</v>
      </c>
      <c r="K67" s="32" t="n">
        <f aca="false">$E$4</f>
        <v>100</v>
      </c>
      <c r="L67" s="31" t="n">
        <f aca="false">IF(J67="","",J67/1000*K67*(1+$E$5/100))</f>
        <v>0.0168</v>
      </c>
      <c r="M67" s="31" t="n">
        <f aca="false">IF(J67="","",J67/1000*$E$6)</f>
        <v>1.52E-005</v>
      </c>
      <c r="N67" s="32" t="n">
        <f aca="false">IF(C67="ampoule verre",$E$12,IF(C67="poche PEA",$E$13,$E$11))</f>
        <v>5</v>
      </c>
      <c r="O67" s="32" t="n">
        <f aca="false">IF(C67="ampoule verre",$E$8,IF(C67="poche PEA",$E$9,$E$7))</f>
        <v>5</v>
      </c>
      <c r="P67" s="31" t="n">
        <f aca="false">N67/1000*O67*(1+$E$5/100)</f>
        <v>0.02625</v>
      </c>
      <c r="Q67" s="32" t="n">
        <f aca="false">$E$14</f>
        <v>3</v>
      </c>
      <c r="R67" s="31" t="n">
        <f aca="false">Q67/1000*$E$10</f>
        <v>0.00348</v>
      </c>
      <c r="S67" s="31" t="n">
        <f aca="false">IF(J67="","",SUM(L67:M67,P67,R67))</f>
        <v>0.0465452</v>
      </c>
      <c r="T67" s="31" t="str">
        <f aca="false">IF(OR(J67="",K67=$E$4),"Élevé - FE PA générique",IF(W67&lt;&gt;"","À vérifier","Moyen"))</f>
        <v>Élevé - FE PA générique</v>
      </c>
      <c r="U67" s="31" t="s">
        <v>455</v>
      </c>
      <c r="V67" s="31" t="s">
        <v>456</v>
      </c>
      <c r="W67" s="31"/>
      <c r="X67" s="1" t="str">
        <f aca="false">IF(A67="","",IF(OR(ISNUMBER(SEARCH("poche",C67)),ISNUMBER(SEARCH("ampoule",C67)),ISNUMBER(SEARCH("plastique",C67))),"Prêt à être dilué / administré (hypothèse)","Reconstitution nécessaire (hypothèse)"))</f>
        <v>Prêt à être dilué / administré (hypothèse)</v>
      </c>
      <c r="Y67" s="1" t="str">
        <f aca="false">IF(A67="","",IF(ISNUMBER(SEARCH("Reconstitution",X67)),"Flacon/poudre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67" s="1" t="n">
        <f aca="false">IF(A67="","",IF(ISNUMBER(SEARCH("Reconstitution",X67)),1,0))</f>
        <v>0</v>
      </c>
      <c r="AA67" s="1" t="str">
        <f aca="false">IF(Z67&gt;0,"SERINGUE_PP_24ML","")</f>
        <v/>
      </c>
      <c r="AB67" s="27" t="n">
        <f aca="false">IF(Z67&gt;0,Z67*VLOOKUP(AA67,FACTEURS_ITEMS!$A$3:$J$30,4,FALSE()),0)</f>
        <v>0</v>
      </c>
      <c r="AC67" s="1" t="n">
        <f aca="false">IF(A67="","",IF(ISNUMBER(SEARCH("Reconstitution",X67)),1,0))</f>
        <v>0</v>
      </c>
      <c r="AD67" s="1" t="str">
        <f aca="false">IF(AC67&gt;0,"AIGUILLE_RECONSTITUTION","")</f>
        <v/>
      </c>
      <c r="AE67" s="27" t="n">
        <f aca="false">IF(AC67&gt;0,AC67*VLOOKUP(AD67,FACTEURS_ITEMS!$A$3:$J$30,4,FALSE()),0)</f>
        <v>0</v>
      </c>
      <c r="AF67" s="27" t="n">
        <f aca="false">IF(A67="","",AB67+AE67)</f>
        <v>0</v>
      </c>
      <c r="AG67" s="27" t="n">
        <f aca="false">IF(A67="","",S67+AF67)</f>
        <v>0.0465452</v>
      </c>
      <c r="AH67" s="1" t="str">
        <f aca="false">IF(A67="","",IF(AF67&gt;0,"ACV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68" customFormat="false" ht="27.75" hidden="false" customHeight="true" outlineLevel="0" collapsed="false">
      <c r="A68" s="31" t="s">
        <v>525</v>
      </c>
      <c r="B68" s="31" t="s">
        <v>526</v>
      </c>
      <c r="C68" s="31" t="s">
        <v>454</v>
      </c>
      <c r="D68" s="31" t="s">
        <v>527</v>
      </c>
      <c r="E68" s="31" t="n">
        <v>500</v>
      </c>
      <c r="F68" s="31" t="s">
        <v>528</v>
      </c>
      <c r="G68" s="31" t="n">
        <v>500</v>
      </c>
      <c r="H68" s="31"/>
      <c r="I68" s="31"/>
      <c r="J68" s="31" t="n">
        <f aca="false">IFERROR(SUM(E68,G68,I68)/1000,"")</f>
        <v>1</v>
      </c>
      <c r="K68" s="32" t="n">
        <f aca="false">$E$4</f>
        <v>100</v>
      </c>
      <c r="L68" s="31" t="n">
        <f aca="false">IF(J68="","",J68/1000*K68*(1+$E$5/100))</f>
        <v>0.105</v>
      </c>
      <c r="M68" s="31" t="n">
        <f aca="false">IF(J68="","",J68/1000*$E$6)</f>
        <v>9.5E-005</v>
      </c>
      <c r="N68" s="32" t="n">
        <f aca="false">IF(C68="ampoule verre",$E$12,IF(C68="poche PEA",$E$13,$E$11))</f>
        <v>10</v>
      </c>
      <c r="O68" s="32" t="n">
        <f aca="false">IF(C68="ampoule verre",$E$8,IF(C68="poche PEA",$E$9,$E$7))</f>
        <v>7.1</v>
      </c>
      <c r="P68" s="31" t="n">
        <f aca="false">N68/1000*O68*(1+$E$5/100)</f>
        <v>0.07455</v>
      </c>
      <c r="Q68" s="32" t="n">
        <f aca="false">$E$14</f>
        <v>3</v>
      </c>
      <c r="R68" s="31" t="n">
        <f aca="false">Q68/1000*$E$10</f>
        <v>0.00348</v>
      </c>
      <c r="S68" s="31" t="n">
        <f aca="false">IF(J68="","",SUM(L68:M68,P68,R68))</f>
        <v>0.183125</v>
      </c>
      <c r="T68" s="31" t="str">
        <f aca="false">IF(OR(J68="",K68=$E$4),"Élevé - FE PA générique",IF(W68&lt;&gt;"","À vérifier","Moyen"))</f>
        <v>Élevé - FE PA générique</v>
      </c>
      <c r="U68" s="31" t="s">
        <v>455</v>
      </c>
      <c r="V68" s="31" t="s">
        <v>456</v>
      </c>
      <c r="W68" s="31"/>
      <c r="X68" s="1" t="str">
        <f aca="false">IF(A68="","",IF(OR(ISNUMBER(SEARCH("poche",C68)),ISNUMBER(SEARCH("ampoule",C68)),ISNUMBER(SEARCH("plastique",C68))),"Prêt à être dilué / administré (hypothèse)","Reconstitution nécessaire (hypothèse)"))</f>
        <v>Reconstitution nécessaire (hypothèse)</v>
      </c>
      <c r="Y68" s="1" t="str">
        <f aca="false">IF(A68="","",IF(ISNUMBER(SEARCH("Reconstitution",X68)),"Flacon/poudre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8" s="1" t="n">
        <f aca="false">IF(A68="","",IF(ISNUMBER(SEARCH("Reconstitution",X68)),1,0))</f>
        <v>1</v>
      </c>
      <c r="AA68" s="1" t="str">
        <f aca="false">IF(Z68&gt;0,"SERINGUE_PP_24ML","")</f>
        <v>SERINGUE_PP_24ML</v>
      </c>
      <c r="AB68" s="27" t="n">
        <f aca="false">IF(Z68&gt;0,Z68*VLOOKUP(AA68,FACTEURS_ITEMS!$A$3:$J$30,4,FALSE()),0)</f>
        <v>0.069</v>
      </c>
      <c r="AC68" s="1" t="n">
        <f aca="false">IF(A68="","",IF(ISNUMBER(SEARCH("Reconstitution",X68)),1,0))</f>
        <v>1</v>
      </c>
      <c r="AD68" s="1" t="str">
        <f aca="false">IF(AC68&gt;0,"AIGUILLE_RECONSTITUTION","")</f>
        <v>AIGUILLE_RECONSTITUTION</v>
      </c>
      <c r="AE68" s="27" t="n">
        <f aca="false">IF(AC68&gt;0,AC68*VLOOKUP(AD68,FACTEURS_ITEMS!$A$3:$J$30,4,FALSE()),0)</f>
        <v>0.01</v>
      </c>
      <c r="AF68" s="27" t="n">
        <f aca="false">IF(A68="","",AB68+AE68)</f>
        <v>0.079</v>
      </c>
      <c r="AG68" s="27" t="n">
        <f aca="false">IF(A68="","",S68+AF68)</f>
        <v>0.262125</v>
      </c>
      <c r="AH68" s="1" t="str">
        <f aca="false">IF(A68="","",IF(AF68&gt;0,"ACV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69" customFormat="false" ht="27.75" hidden="false" customHeight="true" outlineLevel="0" collapsed="false">
      <c r="A69" s="31" t="s">
        <v>529</v>
      </c>
      <c r="B69" s="31" t="s">
        <v>530</v>
      </c>
      <c r="C69" s="31" t="s">
        <v>454</v>
      </c>
      <c r="D69" s="31" t="s">
        <v>527</v>
      </c>
      <c r="E69" s="31" t="n">
        <v>500</v>
      </c>
      <c r="F69" s="31" t="s">
        <v>528</v>
      </c>
      <c r="G69" s="31" t="n">
        <v>500</v>
      </c>
      <c r="H69" s="31" t="s">
        <v>531</v>
      </c>
      <c r="I69" s="31" t="n">
        <v>250</v>
      </c>
      <c r="J69" s="31" t="n">
        <f aca="false">IFERROR(SUM(E69,G69,I69)/1000,"")</f>
        <v>1.25</v>
      </c>
      <c r="K69" s="32" t="n">
        <f aca="false">$E$4</f>
        <v>100</v>
      </c>
      <c r="L69" s="31" t="n">
        <f aca="false">IF(J69="","",J69/1000*K69*(1+$E$5/100))</f>
        <v>0.13125</v>
      </c>
      <c r="M69" s="31" t="n">
        <f aca="false">IF(J69="","",J69/1000*$E$6)</f>
        <v>0.00011875</v>
      </c>
      <c r="N69" s="32" t="n">
        <f aca="false">IF(C69="ampoule verre",$E$12,IF(C69="poche PEA",$E$13,$E$11))</f>
        <v>10</v>
      </c>
      <c r="O69" s="32" t="n">
        <f aca="false">IF(C69="ampoule verre",$E$8,IF(C69="poche PEA",$E$9,$E$7))</f>
        <v>7.1</v>
      </c>
      <c r="P69" s="31" t="n">
        <f aca="false">N69/1000*O69*(1+$E$5/100)</f>
        <v>0.07455</v>
      </c>
      <c r="Q69" s="32" t="n">
        <f aca="false">$E$14</f>
        <v>3</v>
      </c>
      <c r="R69" s="31" t="n">
        <f aca="false">Q69/1000*$E$10</f>
        <v>0.00348</v>
      </c>
      <c r="S69" s="31" t="n">
        <f aca="false">IF(J69="","",SUM(L69:M69,P69,R69))</f>
        <v>0.20939875</v>
      </c>
      <c r="T69" s="31" t="str">
        <f aca="false">IF(OR(J69="",K69=$E$4),"Élevé - FE PA générique",IF(W69&lt;&gt;"","À vérifier","Moyen"))</f>
        <v>Élevé - FE PA générique</v>
      </c>
      <c r="U69" s="31" t="s">
        <v>471</v>
      </c>
      <c r="V69" s="31" t="s">
        <v>456</v>
      </c>
      <c r="W69" s="31"/>
      <c r="X69" s="1" t="str">
        <f aca="false">IF(A69="","",IF(OR(ISNUMBER(SEARCH("poche",C69)),ISNUMBER(SEARCH("ampoule",C69)),ISNUMBER(SEARCH("plastique",C69))),"Prêt à être dilué / administré (hypothèse)","Reconstitution nécessaire (hypothèse)"))</f>
        <v>Reconstitution nécessaire (hypothèse)</v>
      </c>
      <c r="Y69" s="1" t="str">
        <f aca="false">IF(A69="","",IF(ISNUMBER(SEARCH("Reconstitution",X69)),"Flacon/poudre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69" s="1" t="n">
        <f aca="false">IF(A69="","",IF(ISNUMBER(SEARCH("Reconstitution",X69)),1,0))</f>
        <v>1</v>
      </c>
      <c r="AA69" s="1" t="str">
        <f aca="false">IF(Z69&gt;0,"SERINGUE_PP_24ML","")</f>
        <v>SERINGUE_PP_24ML</v>
      </c>
      <c r="AB69" s="27" t="n">
        <f aca="false">IF(Z69&gt;0,Z69*VLOOKUP(AA69,FACTEURS_ITEMS!$A$3:$J$30,4,FALSE()),0)</f>
        <v>0.069</v>
      </c>
      <c r="AC69" s="1" t="n">
        <f aca="false">IF(A69="","",IF(ISNUMBER(SEARCH("Reconstitution",X69)),1,0))</f>
        <v>1</v>
      </c>
      <c r="AD69" s="1" t="str">
        <f aca="false">IF(AC69&gt;0,"AIGUILLE_RECONSTITUTION","")</f>
        <v>AIGUILLE_RECONSTITUTION</v>
      </c>
      <c r="AE69" s="27" t="n">
        <f aca="false">IF(AC69&gt;0,AC69*VLOOKUP(AD69,FACTEURS_ITEMS!$A$3:$J$30,4,FALSE()),0)</f>
        <v>0.01</v>
      </c>
      <c r="AF69" s="27" t="n">
        <f aca="false">IF(A69="","",AB69+AE69)</f>
        <v>0.079</v>
      </c>
      <c r="AG69" s="27" t="n">
        <f aca="false">IF(A69="","",S69+AF69)</f>
        <v>0.28839875</v>
      </c>
      <c r="AH69" s="1" t="str">
        <f aca="false">IF(A69="","",IF(AF69&gt;0,"ACV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0" customFormat="false" ht="27.75" hidden="false" customHeight="true" outlineLevel="0" collapsed="false">
      <c r="A70" s="31" t="s">
        <v>532</v>
      </c>
      <c r="B70" s="31" t="s">
        <v>533</v>
      </c>
      <c r="C70" s="31" t="s">
        <v>454</v>
      </c>
      <c r="D70" s="31" t="s">
        <v>532</v>
      </c>
      <c r="E70" s="31" t="n">
        <v>200</v>
      </c>
      <c r="F70" s="31"/>
      <c r="G70" s="31"/>
      <c r="H70" s="31"/>
      <c r="I70" s="31"/>
      <c r="J70" s="31" t="n">
        <f aca="false">IFERROR(SUM(E70,G70,I70)/1000,"")</f>
        <v>0.2</v>
      </c>
      <c r="K70" s="32" t="n">
        <f aca="false">$E$4</f>
        <v>100</v>
      </c>
      <c r="L70" s="31" t="n">
        <f aca="false">IF(J70="","",J70/1000*K70*(1+$E$5/100))</f>
        <v>0.021</v>
      </c>
      <c r="M70" s="31" t="n">
        <f aca="false">IF(J70="","",J70/1000*$E$6)</f>
        <v>1.9E-005</v>
      </c>
      <c r="N70" s="32" t="n">
        <f aca="false">IF(C70="ampoule verre",$E$12,IF(C70="poche PEA",$E$13,$E$11))</f>
        <v>10</v>
      </c>
      <c r="O70" s="32" t="n">
        <f aca="false">IF(C70="ampoule verre",$E$8,IF(C70="poche PEA",$E$9,$E$7))</f>
        <v>7.1</v>
      </c>
      <c r="P70" s="31" t="n">
        <f aca="false">N70/1000*O70*(1+$E$5/100)</f>
        <v>0.07455</v>
      </c>
      <c r="Q70" s="32" t="n">
        <f aca="false">$E$14</f>
        <v>3</v>
      </c>
      <c r="R70" s="31" t="n">
        <f aca="false">Q70/1000*$E$10</f>
        <v>0.00348</v>
      </c>
      <c r="S70" s="31" t="n">
        <f aca="false">IF(J70="","",SUM(L70:M70,P70,R70))</f>
        <v>0.099049</v>
      </c>
      <c r="T70" s="31" t="str">
        <f aca="false">IF(OR(J70="",K70=$E$4),"Élevé - FE PA générique",IF(W70&lt;&gt;"","À vérifier","Moyen"))</f>
        <v>Élevé - FE PA générique</v>
      </c>
      <c r="U70" s="31" t="s">
        <v>455</v>
      </c>
      <c r="V70" s="31" t="s">
        <v>456</v>
      </c>
      <c r="W70" s="31"/>
      <c r="X70" s="1" t="str">
        <f aca="false">IF(A70="","",IF(OR(ISNUMBER(SEARCH("poche",C70)),ISNUMBER(SEARCH("ampoule",C70)),ISNUMBER(SEARCH("plastique",C70))),"Prêt à être dilué / administré (hypothèse)","Reconstitution nécessaire (hypothèse)"))</f>
        <v>Reconstitution nécessaire (hypothèse)</v>
      </c>
      <c r="Y70" s="1" t="str">
        <f aca="false">IF(A70="","",IF(ISNUMBER(SEARCH("Reconstitution",X70)),"Flacon/poudre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0" s="1" t="n">
        <f aca="false">IF(A70="","",IF(ISNUMBER(SEARCH("Reconstitution",X70)),1,0))</f>
        <v>1</v>
      </c>
      <c r="AA70" s="1" t="str">
        <f aca="false">IF(Z70&gt;0,"SERINGUE_PP_24ML","")</f>
        <v>SERINGUE_PP_24ML</v>
      </c>
      <c r="AB70" s="27" t="n">
        <f aca="false">IF(Z70&gt;0,Z70*VLOOKUP(AA70,FACTEURS_ITEMS!$A$3:$J$30,4,FALSE()),0)</f>
        <v>0.069</v>
      </c>
      <c r="AC70" s="1" t="n">
        <f aca="false">IF(A70="","",IF(ISNUMBER(SEARCH("Reconstitution",X70)),1,0))</f>
        <v>1</v>
      </c>
      <c r="AD70" s="1" t="str">
        <f aca="false">IF(AC70&gt;0,"AIGUILLE_RECONSTITUTION","")</f>
        <v>AIGUILLE_RECONSTITUTION</v>
      </c>
      <c r="AE70" s="27" t="n">
        <f aca="false">IF(AC70&gt;0,AC70*VLOOKUP(AD70,FACTEURS_ITEMS!$A$3:$J$30,4,FALSE()),0)</f>
        <v>0.01</v>
      </c>
      <c r="AF70" s="27" t="n">
        <f aca="false">IF(A70="","",AB70+AE70)</f>
        <v>0.079</v>
      </c>
      <c r="AG70" s="27" t="n">
        <f aca="false">IF(A70="","",S70+AF70)</f>
        <v>0.178049</v>
      </c>
      <c r="AH70" s="1" t="str">
        <f aca="false">IF(A70="","",IF(AF70&gt;0,"ACV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1" customFormat="false" ht="41.25" hidden="false" customHeight="true" outlineLevel="0" collapsed="false">
      <c r="A71" s="31" t="s">
        <v>534</v>
      </c>
      <c r="B71" s="31" t="s">
        <v>535</v>
      </c>
      <c r="C71" s="31" t="s">
        <v>497</v>
      </c>
      <c r="D71" s="31" t="s">
        <v>534</v>
      </c>
      <c r="E71" s="31" t="n">
        <v>500</v>
      </c>
      <c r="F71" s="31"/>
      <c r="G71" s="31"/>
      <c r="H71" s="31"/>
      <c r="I71" s="31"/>
      <c r="J71" s="31" t="n">
        <f aca="false">IFERROR(SUM(E71,G71,I71)/1000,"")</f>
        <v>0.5</v>
      </c>
      <c r="K71" s="32" t="n">
        <f aca="false">$E$4</f>
        <v>100</v>
      </c>
      <c r="L71" s="31" t="n">
        <f aca="false">IF(J71="","",J71/1000*K71*(1+$E$5/100))</f>
        <v>0.0525</v>
      </c>
      <c r="M71" s="31" t="n">
        <f aca="false">IF(J71="","",J71/1000*$E$6)</f>
        <v>4.75E-005</v>
      </c>
      <c r="N71" s="32" t="n">
        <f aca="false">IF(C71="ampoule verre",$E$12,IF(C71="poche PEA",$E$13,$E$11))</f>
        <v>20</v>
      </c>
      <c r="O71" s="32" t="n">
        <f aca="false">IF(C71="ampoule verre",$E$8,IF(C71="poche PEA",$E$9,$E$7))</f>
        <v>4.2</v>
      </c>
      <c r="P71" s="31" t="n">
        <f aca="false">N71/1000*O71*(1+$E$5/100)</f>
        <v>0.0882</v>
      </c>
      <c r="Q71" s="32" t="n">
        <f aca="false">$E$14</f>
        <v>3</v>
      </c>
      <c r="R71" s="31" t="n">
        <f aca="false">Q71/1000*$E$10</f>
        <v>0.00348</v>
      </c>
      <c r="S71" s="31" t="n">
        <f aca="false">IF(J71="","",SUM(L71:M71,P71,R71))</f>
        <v>0.1442275</v>
      </c>
      <c r="T71" s="31" t="str">
        <f aca="false">IF(OR(J71="",K71=$E$4),"Élevé - FE PA générique",IF(W71&lt;&gt;"","À vérifier","Moyen"))</f>
        <v>Élevé - FE PA générique</v>
      </c>
      <c r="U71" s="31" t="s">
        <v>455</v>
      </c>
      <c r="V71" s="31" t="s">
        <v>456</v>
      </c>
      <c r="W71" s="31" t="s">
        <v>498</v>
      </c>
      <c r="X71" s="1" t="str">
        <f aca="false">IF(A71="","",IF(OR(ISNUMBER(SEARCH("poche",C71)),ISNUMBER(SEARCH("ampoule",C71)),ISNUMBER(SEARCH("plastique",C71))),"Prêt à être dilué / administré (hypothèse)","Reconstitution nécessaire (hypothèse)"))</f>
        <v>Prêt à être dilué / administré (hypothèse)</v>
      </c>
      <c r="Y71" s="1" t="str">
        <f aca="false">IF(A71="","",IF(ISNUMBER(SEARCH("Reconstitution",X71)),"Flacon/poudre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71" s="1" t="n">
        <f aca="false">IF(A71="","",IF(ISNUMBER(SEARCH("Reconstitution",X71)),1,0))</f>
        <v>0</v>
      </c>
      <c r="AA71" s="1" t="str">
        <f aca="false">IF(Z71&gt;0,"SERINGUE_PP_24ML","")</f>
        <v/>
      </c>
      <c r="AB71" s="27" t="n">
        <f aca="false">IF(Z71&gt;0,Z71*VLOOKUP(AA71,FACTEURS_ITEMS!$A$3:$J$30,4,FALSE()),0)</f>
        <v>0</v>
      </c>
      <c r="AC71" s="1" t="n">
        <f aca="false">IF(A71="","",IF(ISNUMBER(SEARCH("Reconstitution",X71)),1,0))</f>
        <v>0</v>
      </c>
      <c r="AD71" s="1" t="str">
        <f aca="false">IF(AC71&gt;0,"AIGUILLE_RECONSTITUTION","")</f>
        <v/>
      </c>
      <c r="AE71" s="27" t="n">
        <f aca="false">IF(AC71&gt;0,AC71*VLOOKUP(AD71,FACTEURS_ITEMS!$A$3:$J$30,4,FALSE()),0)</f>
        <v>0</v>
      </c>
      <c r="AF71" s="27" t="n">
        <f aca="false">IF(A71="","",AB71+AE71)</f>
        <v>0</v>
      </c>
      <c r="AG71" s="27" t="n">
        <f aca="false">IF(A71="","",S71+AF71)</f>
        <v>0.1442275</v>
      </c>
      <c r="AH71" s="1" t="str">
        <f aca="false">IF(A71="","",IF(AF71&gt;0,"ACV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72" customFormat="false" ht="41.25" hidden="false" customHeight="true" outlineLevel="0" collapsed="false">
      <c r="A72" s="31" t="s">
        <v>536</v>
      </c>
      <c r="B72" s="31" t="s">
        <v>537</v>
      </c>
      <c r="C72" s="31" t="s">
        <v>497</v>
      </c>
      <c r="D72" s="31" t="s">
        <v>536</v>
      </c>
      <c r="E72" s="31" t="n">
        <v>600</v>
      </c>
      <c r="F72" s="31"/>
      <c r="G72" s="31"/>
      <c r="H72" s="31"/>
      <c r="I72" s="31"/>
      <c r="J72" s="31" t="n">
        <f aca="false">IFERROR(SUM(E72,G72,I72)/1000,"")</f>
        <v>0.6</v>
      </c>
      <c r="K72" s="32" t="n">
        <f aca="false">$E$4</f>
        <v>100</v>
      </c>
      <c r="L72" s="31" t="n">
        <f aca="false">IF(J72="","",J72/1000*K72*(1+$E$5/100))</f>
        <v>0.063</v>
      </c>
      <c r="M72" s="31" t="n">
        <f aca="false">IF(J72="","",J72/1000*$E$6)</f>
        <v>5.7E-005</v>
      </c>
      <c r="N72" s="32" t="n">
        <f aca="false">IF(C72="ampoule verre",$E$12,IF(C72="poche PEA",$E$13,$E$11))</f>
        <v>20</v>
      </c>
      <c r="O72" s="32" t="n">
        <f aca="false">IF(C72="ampoule verre",$E$8,IF(C72="poche PEA",$E$9,$E$7))</f>
        <v>4.2</v>
      </c>
      <c r="P72" s="31" t="n">
        <f aca="false">N72/1000*O72*(1+$E$5/100)</f>
        <v>0.0882</v>
      </c>
      <c r="Q72" s="32" t="n">
        <f aca="false">$E$14</f>
        <v>3</v>
      </c>
      <c r="R72" s="31" t="n">
        <f aca="false">Q72/1000*$E$10</f>
        <v>0.00348</v>
      </c>
      <c r="S72" s="31" t="n">
        <f aca="false">IF(J72="","",SUM(L72:M72,P72,R72))</f>
        <v>0.154737</v>
      </c>
      <c r="T72" s="31" t="str">
        <f aca="false">IF(OR(J72="",K72=$E$4),"Élevé - FE PA générique",IF(W72&lt;&gt;"","À vérifier","Moyen"))</f>
        <v>Élevé - FE PA générique</v>
      </c>
      <c r="U72" s="31" t="s">
        <v>455</v>
      </c>
      <c r="V72" s="31" t="s">
        <v>456</v>
      </c>
      <c r="W72" s="31" t="s">
        <v>498</v>
      </c>
      <c r="X72" s="1" t="str">
        <f aca="false">IF(A72="","",IF(OR(ISNUMBER(SEARCH("poche",C72)),ISNUMBER(SEARCH("ampoule",C72)),ISNUMBER(SEARCH("plastique",C72))),"Prêt à être dilué / administré (hypothèse)","Reconstitution nécessaire (hypothèse)"))</f>
        <v>Prêt à être dilué / administré (hypothèse)</v>
      </c>
      <c r="Y72" s="1" t="str">
        <f aca="false">IF(A72="","",IF(ISNUMBER(SEARCH("Reconstitution",X72)),"Flacon/poudre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72" s="1" t="n">
        <f aca="false">IF(A72="","",IF(ISNUMBER(SEARCH("Reconstitution",X72)),1,0))</f>
        <v>0</v>
      </c>
      <c r="AA72" s="1" t="str">
        <f aca="false">IF(Z72&gt;0,"SERINGUE_PP_24ML","")</f>
        <v/>
      </c>
      <c r="AB72" s="27" t="n">
        <f aca="false">IF(Z72&gt;0,Z72*VLOOKUP(AA72,FACTEURS_ITEMS!$A$3:$J$30,4,FALSE()),0)</f>
        <v>0</v>
      </c>
      <c r="AC72" s="1" t="n">
        <f aca="false">IF(A72="","",IF(ISNUMBER(SEARCH("Reconstitution",X72)),1,0))</f>
        <v>0</v>
      </c>
      <c r="AD72" s="1" t="str">
        <f aca="false">IF(AC72&gt;0,"AIGUILLE_RECONSTITUTION","")</f>
        <v/>
      </c>
      <c r="AE72" s="27" t="n">
        <f aca="false">IF(AC72&gt;0,AC72*VLOOKUP(AD72,FACTEURS_ITEMS!$A$3:$J$30,4,FALSE()),0)</f>
        <v>0</v>
      </c>
      <c r="AF72" s="27" t="n">
        <f aca="false">IF(A72="","",AB72+AE72)</f>
        <v>0</v>
      </c>
      <c r="AG72" s="27" t="n">
        <f aca="false">IF(A72="","",S72+AF72)</f>
        <v>0.154737</v>
      </c>
      <c r="AH72" s="1" t="str">
        <f aca="false">IF(A72="","",IF(AF72&gt;0,"ACV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73" customFormat="false" ht="27.75" hidden="false" customHeight="true" outlineLevel="0" collapsed="false">
      <c r="A73" s="31" t="s">
        <v>538</v>
      </c>
      <c r="B73" s="31" t="s">
        <v>457</v>
      </c>
      <c r="C73" s="31" t="s">
        <v>454</v>
      </c>
      <c r="D73" s="31" t="s">
        <v>538</v>
      </c>
      <c r="E73" s="31" t="n">
        <v>500</v>
      </c>
      <c r="F73" s="31"/>
      <c r="G73" s="31"/>
      <c r="H73" s="31"/>
      <c r="I73" s="31"/>
      <c r="J73" s="31" t="n">
        <f aca="false">IFERROR(SUM(E73,G73,I73)/1000,"")</f>
        <v>0.5</v>
      </c>
      <c r="K73" s="32" t="n">
        <f aca="false">$E$4</f>
        <v>100</v>
      </c>
      <c r="L73" s="31" t="n">
        <f aca="false">IF(J73="","",J73/1000*K73*(1+$E$5/100))</f>
        <v>0.0525</v>
      </c>
      <c r="M73" s="31" t="n">
        <f aca="false">IF(J73="","",J73/1000*$E$6)</f>
        <v>4.75E-005</v>
      </c>
      <c r="N73" s="32" t="n">
        <f aca="false">IF(C73="ampoule verre",$E$12,IF(C73="poche PEA",$E$13,$E$11))</f>
        <v>10</v>
      </c>
      <c r="O73" s="32" t="n">
        <f aca="false">IF(C73="ampoule verre",$E$8,IF(C73="poche PEA",$E$9,$E$7))</f>
        <v>7.1</v>
      </c>
      <c r="P73" s="31" t="n">
        <f aca="false">N73/1000*O73*(1+$E$5/100)</f>
        <v>0.07455</v>
      </c>
      <c r="Q73" s="32" t="n">
        <f aca="false">$E$14</f>
        <v>3</v>
      </c>
      <c r="R73" s="31" t="n">
        <f aca="false">Q73/1000*$E$10</f>
        <v>0.00348</v>
      </c>
      <c r="S73" s="31" t="n">
        <f aca="false">IF(J73="","",SUM(L73:M73,P73,R73))</f>
        <v>0.1305775</v>
      </c>
      <c r="T73" s="31" t="str">
        <f aca="false">IF(OR(J73="",K73=$E$4),"Élevé - FE PA générique",IF(W73&lt;&gt;"","À vérifier","Moyen"))</f>
        <v>Élevé - FE PA générique</v>
      </c>
      <c r="U73" s="31" t="s">
        <v>455</v>
      </c>
      <c r="V73" s="31" t="s">
        <v>456</v>
      </c>
      <c r="W73" s="31"/>
      <c r="X73" s="1" t="str">
        <f aca="false">IF(A73="","",IF(OR(ISNUMBER(SEARCH("poche",C73)),ISNUMBER(SEARCH("ampoule",C73)),ISNUMBER(SEARCH("plastique",C73))),"Prêt à être dilué / administré (hypothèse)","Reconstitution nécessaire (hypothèse)"))</f>
        <v>Reconstitution nécessaire (hypothèse)</v>
      </c>
      <c r="Y73" s="1" t="str">
        <f aca="false">IF(A73="","",IF(ISNUMBER(SEARCH("Reconstitution",X73)),"Flacon/poudre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3" s="1" t="n">
        <f aca="false">IF(A73="","",IF(ISNUMBER(SEARCH("Reconstitution",X73)),1,0))</f>
        <v>1</v>
      </c>
      <c r="AA73" s="1" t="str">
        <f aca="false">IF(Z73&gt;0,"SERINGUE_PP_24ML","")</f>
        <v>SERINGUE_PP_24ML</v>
      </c>
      <c r="AB73" s="27" t="n">
        <f aca="false">IF(Z73&gt;0,Z73*VLOOKUP(AA73,FACTEURS_ITEMS!$A$3:$J$30,4,FALSE()),0)</f>
        <v>0.069</v>
      </c>
      <c r="AC73" s="1" t="n">
        <f aca="false">IF(A73="","",IF(ISNUMBER(SEARCH("Reconstitution",X73)),1,0))</f>
        <v>1</v>
      </c>
      <c r="AD73" s="1" t="str">
        <f aca="false">IF(AC73&gt;0,"AIGUILLE_RECONSTITUTION","")</f>
        <v>AIGUILLE_RECONSTITUTION</v>
      </c>
      <c r="AE73" s="27" t="n">
        <f aca="false">IF(AC73&gt;0,AC73*VLOOKUP(AD73,FACTEURS_ITEMS!$A$3:$J$30,4,FALSE()),0)</f>
        <v>0.01</v>
      </c>
      <c r="AF73" s="27" t="n">
        <f aca="false">IF(A73="","",AB73+AE73)</f>
        <v>0.079</v>
      </c>
      <c r="AG73" s="27" t="n">
        <f aca="false">IF(A73="","",S73+AF73)</f>
        <v>0.2095775</v>
      </c>
      <c r="AH73" s="1" t="str">
        <f aca="false">IF(A73="","",IF(AF73&gt;0,"ACV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4" customFormat="false" ht="27.75" hidden="false" customHeight="true" outlineLevel="0" collapsed="false">
      <c r="A74" s="31" t="s">
        <v>538</v>
      </c>
      <c r="B74" s="31" t="s">
        <v>464</v>
      </c>
      <c r="C74" s="31" t="s">
        <v>454</v>
      </c>
      <c r="D74" s="31" t="s">
        <v>538</v>
      </c>
      <c r="E74" s="31" t="n">
        <v>1000</v>
      </c>
      <c r="F74" s="31"/>
      <c r="G74" s="31"/>
      <c r="H74" s="31"/>
      <c r="I74" s="31"/>
      <c r="J74" s="31" t="n">
        <f aca="false">IFERROR(SUM(E74,G74,I74)/1000,"")</f>
        <v>1</v>
      </c>
      <c r="K74" s="32" t="n">
        <f aca="false">$E$4</f>
        <v>100</v>
      </c>
      <c r="L74" s="31" t="n">
        <f aca="false">IF(J74="","",J74/1000*K74*(1+$E$5/100))</f>
        <v>0.105</v>
      </c>
      <c r="M74" s="31" t="n">
        <f aca="false">IF(J74="","",J74/1000*$E$6)</f>
        <v>9.5E-005</v>
      </c>
      <c r="N74" s="32" t="n">
        <f aca="false">IF(C74="ampoule verre",$E$12,IF(C74="poche PEA",$E$13,$E$11))</f>
        <v>10</v>
      </c>
      <c r="O74" s="32" t="n">
        <f aca="false">IF(C74="ampoule verre",$E$8,IF(C74="poche PEA",$E$9,$E$7))</f>
        <v>7.1</v>
      </c>
      <c r="P74" s="31" t="n">
        <f aca="false">N74/1000*O74*(1+$E$5/100)</f>
        <v>0.07455</v>
      </c>
      <c r="Q74" s="32" t="n">
        <f aca="false">$E$14</f>
        <v>3</v>
      </c>
      <c r="R74" s="31" t="n">
        <f aca="false">Q74/1000*$E$10</f>
        <v>0.00348</v>
      </c>
      <c r="S74" s="31" t="n">
        <f aca="false">IF(J74="","",SUM(L74:M74,P74,R74))</f>
        <v>0.183125</v>
      </c>
      <c r="T74" s="31" t="str">
        <f aca="false">IF(OR(J74="",K74=$E$4),"Élevé - FE PA générique",IF(W74&lt;&gt;"","À vérifier","Moyen"))</f>
        <v>Élevé - FE PA générique</v>
      </c>
      <c r="U74" s="31" t="s">
        <v>455</v>
      </c>
      <c r="V74" s="31" t="s">
        <v>456</v>
      </c>
      <c r="W74" s="31"/>
      <c r="X74" s="1" t="str">
        <f aca="false">IF(A74="","",IF(OR(ISNUMBER(SEARCH("poche",C74)),ISNUMBER(SEARCH("ampoule",C74)),ISNUMBER(SEARCH("plastique",C74))),"Prêt à être dilué / administré (hypothèse)","Reconstitution nécessaire (hypothèse)"))</f>
        <v>Reconstitution nécessaire (hypothèse)</v>
      </c>
      <c r="Y74" s="1" t="str">
        <f aca="false">IF(A74="","",IF(ISNUMBER(SEARCH("Reconstitution",X74)),"Flacon/poudre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4" s="1" t="n">
        <f aca="false">IF(A74="","",IF(ISNUMBER(SEARCH("Reconstitution",X74)),1,0))</f>
        <v>1</v>
      </c>
      <c r="AA74" s="1" t="str">
        <f aca="false">IF(Z74&gt;0,"SERINGUE_PP_24ML","")</f>
        <v>SERINGUE_PP_24ML</v>
      </c>
      <c r="AB74" s="27" t="n">
        <f aca="false">IF(Z74&gt;0,Z74*VLOOKUP(AA74,FACTEURS_ITEMS!$A$3:$J$30,4,FALSE()),0)</f>
        <v>0.069</v>
      </c>
      <c r="AC74" s="1" t="n">
        <f aca="false">IF(A74="","",IF(ISNUMBER(SEARCH("Reconstitution",X74)),1,0))</f>
        <v>1</v>
      </c>
      <c r="AD74" s="1" t="str">
        <f aca="false">IF(AC74&gt;0,"AIGUILLE_RECONSTITUTION","")</f>
        <v>AIGUILLE_RECONSTITUTION</v>
      </c>
      <c r="AE74" s="27" t="n">
        <f aca="false">IF(AC74&gt;0,AC74*VLOOKUP(AD74,FACTEURS_ITEMS!$A$3:$J$30,4,FALSE()),0)</f>
        <v>0.01</v>
      </c>
      <c r="AF74" s="27" t="n">
        <f aca="false">IF(A74="","",AB74+AE74)</f>
        <v>0.079</v>
      </c>
      <c r="AG74" s="27" t="n">
        <f aca="false">IF(A74="","",S74+AF74)</f>
        <v>0.262125</v>
      </c>
      <c r="AH74" s="1" t="str">
        <f aca="false">IF(A74="","",IF(AF74&gt;0,"ACV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5" customFormat="false" ht="27.75" hidden="false" customHeight="true" outlineLevel="0" collapsed="false">
      <c r="A75" s="31" t="s">
        <v>538</v>
      </c>
      <c r="B75" s="31" t="s">
        <v>465</v>
      </c>
      <c r="C75" s="31" t="s">
        <v>454</v>
      </c>
      <c r="D75" s="31" t="s">
        <v>538</v>
      </c>
      <c r="E75" s="31" t="n">
        <v>2000</v>
      </c>
      <c r="F75" s="31"/>
      <c r="G75" s="31"/>
      <c r="H75" s="31"/>
      <c r="I75" s="31"/>
      <c r="J75" s="31" t="n">
        <f aca="false">IFERROR(SUM(E75,G75,I75)/1000,"")</f>
        <v>2</v>
      </c>
      <c r="K75" s="32" t="n">
        <f aca="false">$E$4</f>
        <v>100</v>
      </c>
      <c r="L75" s="31" t="n">
        <f aca="false">IF(J75="","",J75/1000*K75*(1+$E$5/100))</f>
        <v>0.21</v>
      </c>
      <c r="M75" s="31" t="n">
        <f aca="false">IF(J75="","",J75/1000*$E$6)</f>
        <v>0.00019</v>
      </c>
      <c r="N75" s="32" t="n">
        <f aca="false">IF(C75="ampoule verre",$E$12,IF(C75="poche PEA",$E$13,$E$11))</f>
        <v>10</v>
      </c>
      <c r="O75" s="32" t="n">
        <f aca="false">IF(C75="ampoule verre",$E$8,IF(C75="poche PEA",$E$9,$E$7))</f>
        <v>7.1</v>
      </c>
      <c r="P75" s="31" t="n">
        <f aca="false">N75/1000*O75*(1+$E$5/100)</f>
        <v>0.07455</v>
      </c>
      <c r="Q75" s="32" t="n">
        <f aca="false">$E$14</f>
        <v>3</v>
      </c>
      <c r="R75" s="31" t="n">
        <f aca="false">Q75/1000*$E$10</f>
        <v>0.00348</v>
      </c>
      <c r="S75" s="31" t="n">
        <f aca="false">IF(J75="","",SUM(L75:M75,P75,R75))</f>
        <v>0.28822</v>
      </c>
      <c r="T75" s="31" t="str">
        <f aca="false">IF(OR(J75="",K75=$E$4),"Élevé - FE PA générique",IF(W75&lt;&gt;"","À vérifier","Moyen"))</f>
        <v>Élevé - FE PA générique</v>
      </c>
      <c r="U75" s="31" t="s">
        <v>455</v>
      </c>
      <c r="V75" s="31" t="s">
        <v>456</v>
      </c>
      <c r="W75" s="31"/>
      <c r="X75" s="1" t="str">
        <f aca="false">IF(A75="","",IF(OR(ISNUMBER(SEARCH("poche",C75)),ISNUMBER(SEARCH("ampoule",C75)),ISNUMBER(SEARCH("plastique",C75))),"Prêt à être dilué / administré (hypothèse)","Reconstitution nécessaire (hypothèse)"))</f>
        <v>Reconstitution nécessaire (hypothèse)</v>
      </c>
      <c r="Y75" s="1" t="str">
        <f aca="false">IF(A75="","",IF(ISNUMBER(SEARCH("Reconstitution",X75)),"Flacon/poudre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5" s="1" t="n">
        <f aca="false">IF(A75="","",IF(ISNUMBER(SEARCH("Reconstitution",X75)),1,0))</f>
        <v>1</v>
      </c>
      <c r="AA75" s="1" t="str">
        <f aca="false">IF(Z75&gt;0,"SERINGUE_PP_24ML","")</f>
        <v>SERINGUE_PP_24ML</v>
      </c>
      <c r="AB75" s="27" t="n">
        <f aca="false">IF(Z75&gt;0,Z75*VLOOKUP(AA75,FACTEURS_ITEMS!$A$3:$J$30,4,FALSE()),0)</f>
        <v>0.069</v>
      </c>
      <c r="AC75" s="1" t="n">
        <f aca="false">IF(A75="","",IF(ISNUMBER(SEARCH("Reconstitution",X75)),1,0))</f>
        <v>1</v>
      </c>
      <c r="AD75" s="1" t="str">
        <f aca="false">IF(AC75&gt;0,"AIGUILLE_RECONSTITUTION","")</f>
        <v>AIGUILLE_RECONSTITUTION</v>
      </c>
      <c r="AE75" s="27" t="n">
        <f aca="false">IF(AC75&gt;0,AC75*VLOOKUP(AD75,FACTEURS_ITEMS!$A$3:$J$30,4,FALSE()),0)</f>
        <v>0.01</v>
      </c>
      <c r="AF75" s="27" t="n">
        <f aca="false">IF(A75="","",AB75+AE75)</f>
        <v>0.079</v>
      </c>
      <c r="AG75" s="27" t="n">
        <f aca="false">IF(A75="","",S75+AF75)</f>
        <v>0.36722</v>
      </c>
      <c r="AH75" s="1" t="str">
        <f aca="false">IF(A75="","",IF(AF75&gt;0,"ACV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6" customFormat="false" ht="27.75" hidden="false" customHeight="true" outlineLevel="0" collapsed="false">
      <c r="A76" s="31" t="s">
        <v>539</v>
      </c>
      <c r="B76" s="31" t="s">
        <v>540</v>
      </c>
      <c r="C76" s="31" t="s">
        <v>454</v>
      </c>
      <c r="D76" s="31" t="s">
        <v>538</v>
      </c>
      <c r="E76" s="31" t="n">
        <v>1000</v>
      </c>
      <c r="F76" s="31" t="s">
        <v>541</v>
      </c>
      <c r="G76" s="31" t="n">
        <v>1000</v>
      </c>
      <c r="H76" s="31"/>
      <c r="I76" s="31"/>
      <c r="J76" s="31" t="n">
        <f aca="false">IFERROR(SUM(E76,G76,I76)/1000,"")</f>
        <v>2</v>
      </c>
      <c r="K76" s="32" t="n">
        <f aca="false">$E$4</f>
        <v>100</v>
      </c>
      <c r="L76" s="31" t="n">
        <f aca="false">IF(J76="","",J76/1000*K76*(1+$E$5/100))</f>
        <v>0.21</v>
      </c>
      <c r="M76" s="31" t="n">
        <f aca="false">IF(J76="","",J76/1000*$E$6)</f>
        <v>0.00019</v>
      </c>
      <c r="N76" s="32" t="n">
        <f aca="false">IF(C76="ampoule verre",$E$12,IF(C76="poche PEA",$E$13,$E$11))</f>
        <v>10</v>
      </c>
      <c r="O76" s="32" t="n">
        <f aca="false">IF(C76="ampoule verre",$E$8,IF(C76="poche PEA",$E$9,$E$7))</f>
        <v>7.1</v>
      </c>
      <c r="P76" s="31" t="n">
        <f aca="false">N76/1000*O76*(1+$E$5/100)</f>
        <v>0.07455</v>
      </c>
      <c r="Q76" s="32" t="n">
        <f aca="false">$E$14</f>
        <v>3</v>
      </c>
      <c r="R76" s="31" t="n">
        <f aca="false">Q76/1000*$E$10</f>
        <v>0.00348</v>
      </c>
      <c r="S76" s="31" t="n">
        <f aca="false">IF(J76="","",SUM(L76:M76,P76,R76))</f>
        <v>0.28822</v>
      </c>
      <c r="T76" s="31" t="str">
        <f aca="false">IF(OR(J76="",K76=$E$4),"Élevé - FE PA générique",IF(W76&lt;&gt;"","À vérifier","Moyen"))</f>
        <v>Élevé - FE PA générique</v>
      </c>
      <c r="U76" s="31" t="s">
        <v>471</v>
      </c>
      <c r="V76" s="31" t="s">
        <v>456</v>
      </c>
      <c r="W76" s="31"/>
      <c r="X76" s="1" t="str">
        <f aca="false">IF(A76="","",IF(OR(ISNUMBER(SEARCH("poche",C76)),ISNUMBER(SEARCH("ampoule",C76)),ISNUMBER(SEARCH("plastique",C76))),"Prêt à être dilué / administré (hypothèse)","Reconstitution nécessaire (hypothèse)"))</f>
        <v>Reconstitution nécessaire (hypothèse)</v>
      </c>
      <c r="Y76" s="1" t="str">
        <f aca="false">IF(A76="","",IF(ISNUMBER(SEARCH("Reconstitution",X76)),"Flacon/poudre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6" s="1" t="n">
        <f aca="false">IF(A76="","",IF(ISNUMBER(SEARCH("Reconstitution",X76)),1,0))</f>
        <v>1</v>
      </c>
      <c r="AA76" s="1" t="str">
        <f aca="false">IF(Z76&gt;0,"SERINGUE_PP_24ML","")</f>
        <v>SERINGUE_PP_24ML</v>
      </c>
      <c r="AB76" s="27" t="n">
        <f aca="false">IF(Z76&gt;0,Z76*VLOOKUP(AA76,FACTEURS_ITEMS!$A$3:$J$30,4,FALSE()),0)</f>
        <v>0.069</v>
      </c>
      <c r="AC76" s="1" t="n">
        <f aca="false">IF(A76="","",IF(ISNUMBER(SEARCH("Reconstitution",X76)),1,0))</f>
        <v>1</v>
      </c>
      <c r="AD76" s="1" t="str">
        <f aca="false">IF(AC76&gt;0,"AIGUILLE_RECONSTITUTION","")</f>
        <v>AIGUILLE_RECONSTITUTION</v>
      </c>
      <c r="AE76" s="27" t="n">
        <f aca="false">IF(AC76&gt;0,AC76*VLOOKUP(AD76,FACTEURS_ITEMS!$A$3:$J$30,4,FALSE()),0)</f>
        <v>0.01</v>
      </c>
      <c r="AF76" s="27" t="n">
        <f aca="false">IF(A76="","",AB76+AE76)</f>
        <v>0.079</v>
      </c>
      <c r="AG76" s="27" t="n">
        <f aca="false">IF(A76="","",S76+AF76)</f>
        <v>0.36722</v>
      </c>
      <c r="AH76" s="1" t="str">
        <f aca="false">IF(A76="","",IF(AF76&gt;0,"ACV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7" customFormat="false" ht="41.25" hidden="false" customHeight="true" outlineLevel="0" collapsed="false">
      <c r="A77" s="31" t="s">
        <v>542</v>
      </c>
      <c r="B77" s="31" t="s">
        <v>535</v>
      </c>
      <c r="C77" s="31" t="s">
        <v>497</v>
      </c>
      <c r="D77" s="31" t="s">
        <v>542</v>
      </c>
      <c r="E77" s="31" t="n">
        <v>500</v>
      </c>
      <c r="F77" s="31"/>
      <c r="G77" s="31"/>
      <c r="H77" s="31"/>
      <c r="I77" s="31"/>
      <c r="J77" s="31" t="n">
        <f aca="false">IFERROR(SUM(E77,G77,I77)/1000,"")</f>
        <v>0.5</v>
      </c>
      <c r="K77" s="32" t="n">
        <f aca="false">$E$4</f>
        <v>100</v>
      </c>
      <c r="L77" s="31" t="n">
        <f aca="false">IF(J77="","",J77/1000*K77*(1+$E$5/100))</f>
        <v>0.0525</v>
      </c>
      <c r="M77" s="31" t="n">
        <f aca="false">IF(J77="","",J77/1000*$E$6)</f>
        <v>4.75E-005</v>
      </c>
      <c r="N77" s="32" t="n">
        <f aca="false">IF(C77="ampoule verre",$E$12,IF(C77="poche PEA",$E$13,$E$11))</f>
        <v>20</v>
      </c>
      <c r="O77" s="32" t="n">
        <f aca="false">IF(C77="ampoule verre",$E$8,IF(C77="poche PEA",$E$9,$E$7))</f>
        <v>4.2</v>
      </c>
      <c r="P77" s="31" t="n">
        <f aca="false">N77/1000*O77*(1+$E$5/100)</f>
        <v>0.0882</v>
      </c>
      <c r="Q77" s="32" t="n">
        <f aca="false">$E$14</f>
        <v>3</v>
      </c>
      <c r="R77" s="31" t="n">
        <f aca="false">Q77/1000*$E$10</f>
        <v>0.00348</v>
      </c>
      <c r="S77" s="31" t="n">
        <f aca="false">IF(J77="","",SUM(L77:M77,P77,R77))</f>
        <v>0.1442275</v>
      </c>
      <c r="T77" s="31" t="str">
        <f aca="false">IF(OR(J77="",K77=$E$4),"Élevé - FE PA générique",IF(W77&lt;&gt;"","À vérifier","Moyen"))</f>
        <v>Élevé - FE PA générique</v>
      </c>
      <c r="U77" s="31" t="s">
        <v>455</v>
      </c>
      <c r="V77" s="31" t="s">
        <v>456</v>
      </c>
      <c r="W77" s="31" t="s">
        <v>498</v>
      </c>
      <c r="X77" s="1" t="str">
        <f aca="false">IF(A77="","",IF(OR(ISNUMBER(SEARCH("poche",C77)),ISNUMBER(SEARCH("ampoule",C77)),ISNUMBER(SEARCH("plastique",C77))),"Prêt à être dilué / administré (hypothèse)","Reconstitution nécessaire (hypothèse)"))</f>
        <v>Prêt à être dilué / administré (hypothèse)</v>
      </c>
      <c r="Y77" s="1" t="str">
        <f aca="false">IF(A77="","",IF(ISNUMBER(SEARCH("Reconstitution",X77)),"Flacon/poudre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77" s="1" t="n">
        <f aca="false">IF(A77="","",IF(ISNUMBER(SEARCH("Reconstitution",X77)),1,0))</f>
        <v>0</v>
      </c>
      <c r="AA77" s="1" t="str">
        <f aca="false">IF(Z77&gt;0,"SERINGUE_PP_24ML","")</f>
        <v/>
      </c>
      <c r="AB77" s="27" t="n">
        <f aca="false">IF(Z77&gt;0,Z77*VLOOKUP(AA77,FACTEURS_ITEMS!$A$3:$J$30,4,FALSE()),0)</f>
        <v>0</v>
      </c>
      <c r="AC77" s="1" t="n">
        <f aca="false">IF(A77="","",IF(ISNUMBER(SEARCH("Reconstitution",X77)),1,0))</f>
        <v>0</v>
      </c>
      <c r="AD77" s="1" t="str">
        <f aca="false">IF(AC77&gt;0,"AIGUILLE_RECONSTITUTION","")</f>
        <v/>
      </c>
      <c r="AE77" s="27" t="n">
        <f aca="false">IF(AC77&gt;0,AC77*VLOOKUP(AD77,FACTEURS_ITEMS!$A$3:$J$30,4,FALSE()),0)</f>
        <v>0</v>
      </c>
      <c r="AF77" s="27" t="n">
        <f aca="false">IF(A77="","",AB77+AE77)</f>
        <v>0</v>
      </c>
      <c r="AG77" s="27" t="n">
        <f aca="false">IF(A77="","",S77+AF77)</f>
        <v>0.1442275</v>
      </c>
      <c r="AH77" s="1" t="str">
        <f aca="false">IF(A77="","",IF(AF77&gt;0,"ACV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78" customFormat="false" ht="27.75" hidden="false" customHeight="true" outlineLevel="0" collapsed="false">
      <c r="A78" s="31" t="s">
        <v>543</v>
      </c>
      <c r="B78" s="31" t="s">
        <v>483</v>
      </c>
      <c r="C78" s="31" t="s">
        <v>454</v>
      </c>
      <c r="D78" s="31" t="s">
        <v>543</v>
      </c>
      <c r="E78" s="31" t="n">
        <v>50</v>
      </c>
      <c r="F78" s="31"/>
      <c r="G78" s="31"/>
      <c r="H78" s="31"/>
      <c r="I78" s="31"/>
      <c r="J78" s="31" t="n">
        <f aca="false">IFERROR(SUM(E78,G78,I78)/1000,"")</f>
        <v>0.05</v>
      </c>
      <c r="K78" s="32" t="n">
        <f aca="false">$E$4</f>
        <v>100</v>
      </c>
      <c r="L78" s="31" t="n">
        <f aca="false">IF(J78="","",J78/1000*K78*(1+$E$5/100))</f>
        <v>0.00525</v>
      </c>
      <c r="M78" s="31" t="n">
        <f aca="false">IF(J78="","",J78/1000*$E$6)</f>
        <v>4.75E-006</v>
      </c>
      <c r="N78" s="32" t="n">
        <f aca="false">IF(C78="ampoule verre",$E$12,IF(C78="poche PEA",$E$13,$E$11))</f>
        <v>10</v>
      </c>
      <c r="O78" s="32" t="n">
        <f aca="false">IF(C78="ampoule verre",$E$8,IF(C78="poche PEA",$E$9,$E$7))</f>
        <v>7.1</v>
      </c>
      <c r="P78" s="31" t="n">
        <f aca="false">N78/1000*O78*(1+$E$5/100)</f>
        <v>0.07455</v>
      </c>
      <c r="Q78" s="32" t="n">
        <f aca="false">$E$14</f>
        <v>3</v>
      </c>
      <c r="R78" s="31" t="n">
        <f aca="false">Q78/1000*$E$10</f>
        <v>0.00348</v>
      </c>
      <c r="S78" s="31" t="n">
        <f aca="false">IF(J78="","",SUM(L78:M78,P78,R78))</f>
        <v>0.08328475</v>
      </c>
      <c r="T78" s="31" t="str">
        <f aca="false">IF(OR(J78="",K78=$E$4),"Élevé - FE PA générique",IF(W78&lt;&gt;"","À vérifier","Moyen"))</f>
        <v>Élevé - FE PA générique</v>
      </c>
      <c r="U78" s="31" t="s">
        <v>455</v>
      </c>
      <c r="V78" s="31" t="s">
        <v>456</v>
      </c>
      <c r="W78" s="31"/>
      <c r="X78" s="1" t="str">
        <f aca="false">IF(A78="","",IF(OR(ISNUMBER(SEARCH("poche",C78)),ISNUMBER(SEARCH("ampoule",C78)),ISNUMBER(SEARCH("plastique",C78))),"Prêt à être dilué / administré (hypothèse)","Reconstitution nécessaire (hypothèse)"))</f>
        <v>Reconstitution nécessaire (hypothèse)</v>
      </c>
      <c r="Y78" s="1" t="str">
        <f aca="false">IF(A78="","",IF(ISNUMBER(SEARCH("Reconstitution",X78)),"Flacon/poudre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8" s="1" t="n">
        <f aca="false">IF(A78="","",IF(ISNUMBER(SEARCH("Reconstitution",X78)),1,0))</f>
        <v>1</v>
      </c>
      <c r="AA78" s="1" t="str">
        <f aca="false">IF(Z78&gt;0,"SERINGUE_PP_24ML","")</f>
        <v>SERINGUE_PP_24ML</v>
      </c>
      <c r="AB78" s="27" t="n">
        <f aca="false">IF(Z78&gt;0,Z78*VLOOKUP(AA78,FACTEURS_ITEMS!$A$3:$J$30,4,FALSE()),0)</f>
        <v>0.069</v>
      </c>
      <c r="AC78" s="1" t="n">
        <f aca="false">IF(A78="","",IF(ISNUMBER(SEARCH("Reconstitution",X78)),1,0))</f>
        <v>1</v>
      </c>
      <c r="AD78" s="1" t="str">
        <f aca="false">IF(AC78&gt;0,"AIGUILLE_RECONSTITUTION","")</f>
        <v>AIGUILLE_RECONSTITUTION</v>
      </c>
      <c r="AE78" s="27" t="n">
        <f aca="false">IF(AC78&gt;0,AC78*VLOOKUP(AD78,FACTEURS_ITEMS!$A$3:$J$30,4,FALSE()),0)</f>
        <v>0.01</v>
      </c>
      <c r="AF78" s="27" t="n">
        <f aca="false">IF(A78="","",AB78+AE78)</f>
        <v>0.079</v>
      </c>
      <c r="AG78" s="27" t="n">
        <f aca="false">IF(A78="","",S78+AF78)</f>
        <v>0.16228475</v>
      </c>
      <c r="AH78" s="1" t="str">
        <f aca="false">IF(A78="","",IF(AF78&gt;0,"ACV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79" customFormat="false" ht="27.75" hidden="false" customHeight="true" outlineLevel="0" collapsed="false">
      <c r="A79" s="31" t="s">
        <v>543</v>
      </c>
      <c r="B79" s="31" t="s">
        <v>544</v>
      </c>
      <c r="C79" s="31" t="s">
        <v>454</v>
      </c>
      <c r="D79" s="31" t="s">
        <v>543</v>
      </c>
      <c r="E79" s="31" t="n">
        <v>100</v>
      </c>
      <c r="F79" s="31"/>
      <c r="G79" s="31"/>
      <c r="H79" s="31"/>
      <c r="I79" s="31"/>
      <c r="J79" s="31" t="n">
        <f aca="false">IFERROR(SUM(E79,G79,I79)/1000,"")</f>
        <v>0.1</v>
      </c>
      <c r="K79" s="32" t="n">
        <f aca="false">$E$4</f>
        <v>100</v>
      </c>
      <c r="L79" s="31" t="n">
        <f aca="false">IF(J79="","",J79/1000*K79*(1+$E$5/100))</f>
        <v>0.0105</v>
      </c>
      <c r="M79" s="31" t="n">
        <f aca="false">IF(J79="","",J79/1000*$E$6)</f>
        <v>9.5E-006</v>
      </c>
      <c r="N79" s="32" t="n">
        <f aca="false">IF(C79="ampoule verre",$E$12,IF(C79="poche PEA",$E$13,$E$11))</f>
        <v>10</v>
      </c>
      <c r="O79" s="32" t="n">
        <f aca="false">IF(C79="ampoule verre",$E$8,IF(C79="poche PEA",$E$9,$E$7))</f>
        <v>7.1</v>
      </c>
      <c r="P79" s="31" t="n">
        <f aca="false">N79/1000*O79*(1+$E$5/100)</f>
        <v>0.07455</v>
      </c>
      <c r="Q79" s="32" t="n">
        <f aca="false">$E$14</f>
        <v>3</v>
      </c>
      <c r="R79" s="31" t="n">
        <f aca="false">Q79/1000*$E$10</f>
        <v>0.00348</v>
      </c>
      <c r="S79" s="31" t="n">
        <f aca="false">IF(J79="","",SUM(L79:M79,P79,R79))</f>
        <v>0.0885395</v>
      </c>
      <c r="T79" s="31" t="str">
        <f aca="false">IF(OR(J79="",K79=$E$4),"Élevé - FE PA générique",IF(W79&lt;&gt;"","À vérifier","Moyen"))</f>
        <v>Élevé - FE PA générique</v>
      </c>
      <c r="U79" s="31" t="s">
        <v>455</v>
      </c>
      <c r="V79" s="31" t="s">
        <v>456</v>
      </c>
      <c r="W79" s="31"/>
      <c r="X79" s="1" t="str">
        <f aca="false">IF(A79="","",IF(OR(ISNUMBER(SEARCH("poche",C79)),ISNUMBER(SEARCH("ampoule",C79)),ISNUMBER(SEARCH("plastique",C79))),"Prêt à être dilué / administré (hypothèse)","Reconstitution nécessaire (hypothèse)"))</f>
        <v>Reconstitution nécessaire (hypothèse)</v>
      </c>
      <c r="Y79" s="1" t="str">
        <f aca="false">IF(A79="","",IF(ISNUMBER(SEARCH("Reconstitution",X79)),"Flacon/poudre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79" s="1" t="n">
        <f aca="false">IF(A79="","",IF(ISNUMBER(SEARCH("Reconstitution",X79)),1,0))</f>
        <v>1</v>
      </c>
      <c r="AA79" s="1" t="str">
        <f aca="false">IF(Z79&gt;0,"SERINGUE_PP_24ML","")</f>
        <v>SERINGUE_PP_24ML</v>
      </c>
      <c r="AB79" s="27" t="n">
        <f aca="false">IF(Z79&gt;0,Z79*VLOOKUP(AA79,FACTEURS_ITEMS!$A$3:$J$30,4,FALSE()),0)</f>
        <v>0.069</v>
      </c>
      <c r="AC79" s="1" t="n">
        <f aca="false">IF(A79="","",IF(ISNUMBER(SEARCH("Reconstitution",X79)),1,0))</f>
        <v>1</v>
      </c>
      <c r="AD79" s="1" t="str">
        <f aca="false">IF(AC79&gt;0,"AIGUILLE_RECONSTITUTION","")</f>
        <v>AIGUILLE_RECONSTITUTION</v>
      </c>
      <c r="AE79" s="27" t="n">
        <f aca="false">IF(AC79&gt;0,AC79*VLOOKUP(AD79,FACTEURS_ITEMS!$A$3:$J$30,4,FALSE()),0)</f>
        <v>0.01</v>
      </c>
      <c r="AF79" s="27" t="n">
        <f aca="false">IF(A79="","",AB79+AE79)</f>
        <v>0.079</v>
      </c>
      <c r="AG79" s="27" t="n">
        <f aca="false">IF(A79="","",S79+AF79)</f>
        <v>0.1675395</v>
      </c>
      <c r="AH79" s="1" t="str">
        <f aca="false">IF(A79="","",IF(AF79&gt;0,"ACV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0" customFormat="false" ht="41.25" hidden="false" customHeight="true" outlineLevel="0" collapsed="false">
      <c r="A80" s="31" t="s">
        <v>545</v>
      </c>
      <c r="B80" s="31" t="s">
        <v>496</v>
      </c>
      <c r="C80" s="31" t="s">
        <v>497</v>
      </c>
      <c r="D80" s="31" t="s">
        <v>545</v>
      </c>
      <c r="E80" s="31" t="n">
        <v>200</v>
      </c>
      <c r="F80" s="31"/>
      <c r="G80" s="31"/>
      <c r="H80" s="31"/>
      <c r="I80" s="31"/>
      <c r="J80" s="31" t="n">
        <f aca="false">IFERROR(SUM(E80,G80,I80)/1000,"")</f>
        <v>0.2</v>
      </c>
      <c r="K80" s="32" t="n">
        <f aca="false">$E$4</f>
        <v>100</v>
      </c>
      <c r="L80" s="31" t="n">
        <f aca="false">IF(J80="","",J80/1000*K80*(1+$E$5/100))</f>
        <v>0.021</v>
      </c>
      <c r="M80" s="31" t="n">
        <f aca="false">IF(J80="","",J80/1000*$E$6)</f>
        <v>1.9E-005</v>
      </c>
      <c r="N80" s="32" t="n">
        <f aca="false">IF(C80="ampoule verre",$E$12,IF(C80="poche PEA",$E$13,$E$11))</f>
        <v>20</v>
      </c>
      <c r="O80" s="32" t="n">
        <f aca="false">IF(C80="ampoule verre",$E$8,IF(C80="poche PEA",$E$9,$E$7))</f>
        <v>4.2</v>
      </c>
      <c r="P80" s="31" t="n">
        <f aca="false">N80/1000*O80*(1+$E$5/100)</f>
        <v>0.0882</v>
      </c>
      <c r="Q80" s="32" t="n">
        <f aca="false">$E$14</f>
        <v>3</v>
      </c>
      <c r="R80" s="31" t="n">
        <f aca="false">Q80/1000*$E$10</f>
        <v>0.00348</v>
      </c>
      <c r="S80" s="31" t="n">
        <f aca="false">IF(J80="","",SUM(L80:M80,P80,R80))</f>
        <v>0.112699</v>
      </c>
      <c r="T80" s="31" t="str">
        <f aca="false">IF(OR(J80="",K80=$E$4),"Élevé - FE PA générique",IF(W80&lt;&gt;"","À vérifier","Moyen"))</f>
        <v>Élevé - FE PA générique</v>
      </c>
      <c r="U80" s="31" t="s">
        <v>455</v>
      </c>
      <c r="V80" s="31" t="s">
        <v>456</v>
      </c>
      <c r="W80" s="31" t="s">
        <v>498</v>
      </c>
      <c r="X80" s="1" t="str">
        <f aca="false">IF(A80="","",IF(OR(ISNUMBER(SEARCH("poche",C80)),ISNUMBER(SEARCH("ampoule",C80)),ISNUMBER(SEARCH("plastique",C80))),"Prêt à être dilué / administré (hypothèse)","Reconstitution nécessaire (hypothèse)"))</f>
        <v>Prêt à être dilué / administré (hypothèse)</v>
      </c>
      <c r="Y80" s="1" t="str">
        <f aca="false">IF(A80="","",IF(ISNUMBER(SEARCH("Reconstitution",X80)),"Flacon/poudre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80" s="1" t="n">
        <f aca="false">IF(A80="","",IF(ISNUMBER(SEARCH("Reconstitution",X80)),1,0))</f>
        <v>0</v>
      </c>
      <c r="AA80" s="1" t="str">
        <f aca="false">IF(Z80&gt;0,"SERINGUE_PP_24ML","")</f>
        <v/>
      </c>
      <c r="AB80" s="27" t="n">
        <f aca="false">IF(Z80&gt;0,Z80*VLOOKUP(AA80,FACTEURS_ITEMS!$A$3:$J$30,4,FALSE()),0)</f>
        <v>0</v>
      </c>
      <c r="AC80" s="1" t="n">
        <f aca="false">IF(A80="","",IF(ISNUMBER(SEARCH("Reconstitution",X80)),1,0))</f>
        <v>0</v>
      </c>
      <c r="AD80" s="1" t="str">
        <f aca="false">IF(AC80&gt;0,"AIGUILLE_RECONSTITUTION","")</f>
        <v/>
      </c>
      <c r="AE80" s="27" t="n">
        <f aca="false">IF(AC80&gt;0,AC80*VLOOKUP(AD80,FACTEURS_ITEMS!$A$3:$J$30,4,FALSE()),0)</f>
        <v>0</v>
      </c>
      <c r="AF80" s="27" t="n">
        <f aca="false">IF(A80="","",AB80+AE80)</f>
        <v>0</v>
      </c>
      <c r="AG80" s="27" t="n">
        <f aca="false">IF(A80="","",S80+AF80)</f>
        <v>0.112699</v>
      </c>
      <c r="AH80" s="1" t="str">
        <f aca="false">IF(A80="","",IF(AF80&gt;0,"ACV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81" customFormat="false" ht="27.75" hidden="false" customHeight="true" outlineLevel="0" collapsed="false">
      <c r="A81" s="31" t="s">
        <v>546</v>
      </c>
      <c r="B81" s="31" t="s">
        <v>464</v>
      </c>
      <c r="C81" s="31" t="s">
        <v>454</v>
      </c>
      <c r="D81" s="31" t="s">
        <v>546</v>
      </c>
      <c r="E81" s="31" t="n">
        <v>1000</v>
      </c>
      <c r="F81" s="31"/>
      <c r="G81" s="31"/>
      <c r="H81" s="31"/>
      <c r="I81" s="31"/>
      <c r="J81" s="31" t="n">
        <f aca="false">IFERROR(SUM(E81,G81,I81)/1000,"")</f>
        <v>1</v>
      </c>
      <c r="K81" s="32" t="n">
        <f aca="false">$E$4</f>
        <v>100</v>
      </c>
      <c r="L81" s="31" t="n">
        <f aca="false">IF(J81="","",J81/1000*K81*(1+$E$5/100))</f>
        <v>0.105</v>
      </c>
      <c r="M81" s="31" t="n">
        <f aca="false">IF(J81="","",J81/1000*$E$6)</f>
        <v>9.5E-005</v>
      </c>
      <c r="N81" s="32" t="n">
        <f aca="false">IF(C81="ampoule verre",$E$12,IF(C81="poche PEA",$E$13,$E$11))</f>
        <v>10</v>
      </c>
      <c r="O81" s="32" t="n">
        <f aca="false">IF(C81="ampoule verre",$E$8,IF(C81="poche PEA",$E$9,$E$7))</f>
        <v>7.1</v>
      </c>
      <c r="P81" s="31" t="n">
        <f aca="false">N81/1000*O81*(1+$E$5/100)</f>
        <v>0.07455</v>
      </c>
      <c r="Q81" s="32" t="n">
        <f aca="false">$E$14</f>
        <v>3</v>
      </c>
      <c r="R81" s="31" t="n">
        <f aca="false">Q81/1000*$E$10</f>
        <v>0.00348</v>
      </c>
      <c r="S81" s="31" t="n">
        <f aca="false">IF(J81="","",SUM(L81:M81,P81,R81))</f>
        <v>0.183125</v>
      </c>
      <c r="T81" s="31" t="str">
        <f aca="false">IF(OR(J81="",K81=$E$4),"Élevé - FE PA générique",IF(W81&lt;&gt;"","À vérifier","Moyen"))</f>
        <v>Élevé - FE PA générique</v>
      </c>
      <c r="U81" s="31" t="s">
        <v>493</v>
      </c>
      <c r="V81" s="31" t="s">
        <v>456</v>
      </c>
      <c r="W81" s="31"/>
      <c r="X81" s="1" t="str">
        <f aca="false">IF(A81="","",IF(OR(ISNUMBER(SEARCH("poche",C81)),ISNUMBER(SEARCH("ampoule",C81)),ISNUMBER(SEARCH("plastique",C81))),"Prêt à être dilué / administré (hypothèse)","Reconstitution nécessaire (hypothèse)"))</f>
        <v>Reconstitution nécessaire (hypothèse)</v>
      </c>
      <c r="Y81" s="1" t="str">
        <f aca="false">IF(A81="","",IF(ISNUMBER(SEARCH("Reconstitution",X81)),"Flacon/poudre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1" s="1" t="n">
        <f aca="false">IF(A81="","",IF(ISNUMBER(SEARCH("Reconstitution",X81)),1,0))</f>
        <v>1</v>
      </c>
      <c r="AA81" s="1" t="str">
        <f aca="false">IF(Z81&gt;0,"SERINGUE_PP_24ML","")</f>
        <v>SERINGUE_PP_24ML</v>
      </c>
      <c r="AB81" s="27" t="n">
        <f aca="false">IF(Z81&gt;0,Z81*VLOOKUP(AA81,FACTEURS_ITEMS!$A$3:$J$30,4,FALSE()),0)</f>
        <v>0.069</v>
      </c>
      <c r="AC81" s="1" t="n">
        <f aca="false">IF(A81="","",IF(ISNUMBER(SEARCH("Reconstitution",X81)),1,0))</f>
        <v>1</v>
      </c>
      <c r="AD81" s="1" t="str">
        <f aca="false">IF(AC81&gt;0,"AIGUILLE_RECONSTITUTION","")</f>
        <v>AIGUILLE_RECONSTITUTION</v>
      </c>
      <c r="AE81" s="27" t="n">
        <f aca="false">IF(AC81&gt;0,AC81*VLOOKUP(AD81,FACTEURS_ITEMS!$A$3:$J$30,4,FALSE()),0)</f>
        <v>0.01</v>
      </c>
      <c r="AF81" s="27" t="n">
        <f aca="false">IF(A81="","",AB81+AE81)</f>
        <v>0.079</v>
      </c>
      <c r="AG81" s="27" t="n">
        <f aca="false">IF(A81="","",S81+AF81)</f>
        <v>0.262125</v>
      </c>
      <c r="AH81" s="1" t="str">
        <f aca="false">IF(A81="","",IF(AF81&gt;0,"ACV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2" customFormat="false" ht="27.75" hidden="false" customHeight="true" outlineLevel="0" collapsed="false">
      <c r="A82" s="31" t="s">
        <v>546</v>
      </c>
      <c r="B82" s="31" t="s">
        <v>465</v>
      </c>
      <c r="C82" s="31" t="s">
        <v>454</v>
      </c>
      <c r="D82" s="31" t="s">
        <v>546</v>
      </c>
      <c r="E82" s="31" t="n">
        <v>2000</v>
      </c>
      <c r="F82" s="31"/>
      <c r="G82" s="31"/>
      <c r="H82" s="31"/>
      <c r="I82" s="31"/>
      <c r="J82" s="31" t="n">
        <f aca="false">IFERROR(SUM(E82,G82,I82)/1000,"")</f>
        <v>2</v>
      </c>
      <c r="K82" s="32" t="n">
        <f aca="false">$E$4</f>
        <v>100</v>
      </c>
      <c r="L82" s="31" t="n">
        <f aca="false">IF(J82="","",J82/1000*K82*(1+$E$5/100))</f>
        <v>0.21</v>
      </c>
      <c r="M82" s="31" t="n">
        <f aca="false">IF(J82="","",J82/1000*$E$6)</f>
        <v>0.00019</v>
      </c>
      <c r="N82" s="32" t="n">
        <f aca="false">IF(C82="ampoule verre",$E$12,IF(C82="poche PEA",$E$13,$E$11))</f>
        <v>10</v>
      </c>
      <c r="O82" s="32" t="n">
        <f aca="false">IF(C82="ampoule verre",$E$8,IF(C82="poche PEA",$E$9,$E$7))</f>
        <v>7.1</v>
      </c>
      <c r="P82" s="31" t="n">
        <f aca="false">N82/1000*O82*(1+$E$5/100)</f>
        <v>0.07455</v>
      </c>
      <c r="Q82" s="32" t="n">
        <f aca="false">$E$14</f>
        <v>3</v>
      </c>
      <c r="R82" s="31" t="n">
        <f aca="false">Q82/1000*$E$10</f>
        <v>0.00348</v>
      </c>
      <c r="S82" s="31" t="n">
        <f aca="false">IF(J82="","",SUM(L82:M82,P82,R82))</f>
        <v>0.28822</v>
      </c>
      <c r="T82" s="31" t="str">
        <f aca="false">IF(OR(J82="",K82=$E$4),"Élevé - FE PA générique",IF(W82&lt;&gt;"","À vérifier","Moyen"))</f>
        <v>Élevé - FE PA générique</v>
      </c>
      <c r="U82" s="31" t="s">
        <v>493</v>
      </c>
      <c r="V82" s="31" t="s">
        <v>456</v>
      </c>
      <c r="W82" s="31"/>
      <c r="X82" s="1" t="str">
        <f aca="false">IF(A82="","",IF(OR(ISNUMBER(SEARCH("poche",C82)),ISNUMBER(SEARCH("ampoule",C82)),ISNUMBER(SEARCH("plastique",C82))),"Prêt à être dilué / administré (hypothèse)","Reconstitution nécessaire (hypothèse)"))</f>
        <v>Reconstitution nécessaire (hypothèse)</v>
      </c>
      <c r="Y82" s="1" t="str">
        <f aca="false">IF(A82="","",IF(ISNUMBER(SEARCH("Reconstitution",X82)),"Flacon/poudre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2" s="1" t="n">
        <f aca="false">IF(A82="","",IF(ISNUMBER(SEARCH("Reconstitution",X82)),1,0))</f>
        <v>1</v>
      </c>
      <c r="AA82" s="1" t="str">
        <f aca="false">IF(Z82&gt;0,"SERINGUE_PP_24ML","")</f>
        <v>SERINGUE_PP_24ML</v>
      </c>
      <c r="AB82" s="27" t="n">
        <f aca="false">IF(Z82&gt;0,Z82*VLOOKUP(AA82,FACTEURS_ITEMS!$A$3:$J$30,4,FALSE()),0)</f>
        <v>0.069</v>
      </c>
      <c r="AC82" s="1" t="n">
        <f aca="false">IF(A82="","",IF(ISNUMBER(SEARCH("Reconstitution",X82)),1,0))</f>
        <v>1</v>
      </c>
      <c r="AD82" s="1" t="str">
        <f aca="false">IF(AC82&gt;0,"AIGUILLE_RECONSTITUTION","")</f>
        <v>AIGUILLE_RECONSTITUTION</v>
      </c>
      <c r="AE82" s="27" t="n">
        <f aca="false">IF(AC82&gt;0,AC82*VLOOKUP(AD82,FACTEURS_ITEMS!$A$3:$J$30,4,FALSE()),0)</f>
        <v>0.01</v>
      </c>
      <c r="AF82" s="27" t="n">
        <f aca="false">IF(A82="","",AB82+AE82)</f>
        <v>0.079</v>
      </c>
      <c r="AG82" s="27" t="n">
        <f aca="false">IF(A82="","",S82+AF82)</f>
        <v>0.36722</v>
      </c>
      <c r="AH82" s="1" t="str">
        <f aca="false">IF(A82="","",IF(AF82&gt;0,"ACV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3" customFormat="false" ht="27.75" hidden="false" customHeight="true" outlineLevel="0" collapsed="false">
      <c r="A83" s="31" t="s">
        <v>547</v>
      </c>
      <c r="B83" s="31" t="s">
        <v>465</v>
      </c>
      <c r="C83" s="31" t="s">
        <v>454</v>
      </c>
      <c r="D83" s="31" t="s">
        <v>547</v>
      </c>
      <c r="E83" s="31" t="n">
        <v>2000</v>
      </c>
      <c r="F83" s="31"/>
      <c r="G83" s="31"/>
      <c r="H83" s="31"/>
      <c r="I83" s="31"/>
      <c r="J83" s="31" t="n">
        <f aca="false">IFERROR(SUM(E83,G83,I83)/1000,"")</f>
        <v>2</v>
      </c>
      <c r="K83" s="32" t="n">
        <f aca="false">$E$4</f>
        <v>100</v>
      </c>
      <c r="L83" s="31" t="n">
        <f aca="false">IF(J83="","",J83/1000*K83*(1+$E$5/100))</f>
        <v>0.21</v>
      </c>
      <c r="M83" s="31" t="n">
        <f aca="false">IF(J83="","",J83/1000*$E$6)</f>
        <v>0.00019</v>
      </c>
      <c r="N83" s="32" t="n">
        <f aca="false">IF(C83="ampoule verre",$E$12,IF(C83="poche PEA",$E$13,$E$11))</f>
        <v>10</v>
      </c>
      <c r="O83" s="32" t="n">
        <f aca="false">IF(C83="ampoule verre",$E$8,IF(C83="poche PEA",$E$9,$E$7))</f>
        <v>7.1</v>
      </c>
      <c r="P83" s="31" t="n">
        <f aca="false">N83/1000*O83*(1+$E$5/100)</f>
        <v>0.07455</v>
      </c>
      <c r="Q83" s="32" t="n">
        <f aca="false">$E$14</f>
        <v>3</v>
      </c>
      <c r="R83" s="31" t="n">
        <f aca="false">Q83/1000*$E$10</f>
        <v>0.00348</v>
      </c>
      <c r="S83" s="31" t="n">
        <f aca="false">IF(J83="","",SUM(L83:M83,P83,R83))</f>
        <v>0.28822</v>
      </c>
      <c r="T83" s="31" t="str">
        <f aca="false">IF(OR(J83="",K83=$E$4),"Élevé - FE PA générique",IF(W83&lt;&gt;"","À vérifier","Moyen"))</f>
        <v>Élevé - FE PA générique</v>
      </c>
      <c r="U83" s="31" t="s">
        <v>493</v>
      </c>
      <c r="V83" s="31" t="s">
        <v>456</v>
      </c>
      <c r="W83" s="31"/>
      <c r="X83" s="1" t="str">
        <f aca="false">IF(A83="","",IF(OR(ISNUMBER(SEARCH("poche",C83)),ISNUMBER(SEARCH("ampoule",C83)),ISNUMBER(SEARCH("plastique",C83))),"Prêt à être dilué / administré (hypothèse)","Reconstitution nécessaire (hypothèse)"))</f>
        <v>Reconstitution nécessaire (hypothèse)</v>
      </c>
      <c r="Y83" s="1" t="str">
        <f aca="false">IF(A83="","",IF(ISNUMBER(SEARCH("Reconstitution",X83)),"Flacon/poudre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3" s="1" t="n">
        <f aca="false">IF(A83="","",IF(ISNUMBER(SEARCH("Reconstitution",X83)),1,0))</f>
        <v>1</v>
      </c>
      <c r="AA83" s="1" t="str">
        <f aca="false">IF(Z83&gt;0,"SERINGUE_PP_24ML","")</f>
        <v>SERINGUE_PP_24ML</v>
      </c>
      <c r="AB83" s="27" t="n">
        <f aca="false">IF(Z83&gt;0,Z83*VLOOKUP(AA83,FACTEURS_ITEMS!$A$3:$J$30,4,FALSE()),0)</f>
        <v>0.069</v>
      </c>
      <c r="AC83" s="1" t="n">
        <f aca="false">IF(A83="","",IF(ISNUMBER(SEARCH("Reconstitution",X83)),1,0))</f>
        <v>1</v>
      </c>
      <c r="AD83" s="1" t="str">
        <f aca="false">IF(AC83&gt;0,"AIGUILLE_RECONSTITUTION","")</f>
        <v>AIGUILLE_RECONSTITUTION</v>
      </c>
      <c r="AE83" s="27" t="n">
        <f aca="false">IF(AC83&gt;0,AC83*VLOOKUP(AD83,FACTEURS_ITEMS!$A$3:$J$30,4,FALSE()),0)</f>
        <v>0.01</v>
      </c>
      <c r="AF83" s="27" t="n">
        <f aca="false">IF(A83="","",AB83+AE83)</f>
        <v>0.079</v>
      </c>
      <c r="AG83" s="27" t="n">
        <f aca="false">IF(A83="","",S83+AF83)</f>
        <v>0.36722</v>
      </c>
      <c r="AH83" s="1" t="str">
        <f aca="false">IF(A83="","",IF(AF83&gt;0,"ACV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4" customFormat="false" ht="27.75" hidden="false" customHeight="true" outlineLevel="0" collapsed="false">
      <c r="A84" s="31" t="s">
        <v>547</v>
      </c>
      <c r="B84" s="31" t="s">
        <v>519</v>
      </c>
      <c r="C84" s="31" t="s">
        <v>454</v>
      </c>
      <c r="D84" s="31" t="s">
        <v>547</v>
      </c>
      <c r="E84" s="31" t="n">
        <v>4000</v>
      </c>
      <c r="F84" s="31"/>
      <c r="G84" s="31"/>
      <c r="H84" s="31"/>
      <c r="I84" s="31"/>
      <c r="J84" s="31" t="n">
        <f aca="false">IFERROR(SUM(E84,G84,I84)/1000,"")</f>
        <v>4</v>
      </c>
      <c r="K84" s="32" t="n">
        <f aca="false">$E$4</f>
        <v>100</v>
      </c>
      <c r="L84" s="31" t="n">
        <f aca="false">IF(J84="","",J84/1000*K84*(1+$E$5/100))</f>
        <v>0.42</v>
      </c>
      <c r="M84" s="31" t="n">
        <f aca="false">IF(J84="","",J84/1000*$E$6)</f>
        <v>0.00038</v>
      </c>
      <c r="N84" s="32" t="n">
        <f aca="false">IF(C84="ampoule verre",$E$12,IF(C84="poche PEA",$E$13,$E$11))</f>
        <v>10</v>
      </c>
      <c r="O84" s="32" t="n">
        <f aca="false">IF(C84="ampoule verre",$E$8,IF(C84="poche PEA",$E$9,$E$7))</f>
        <v>7.1</v>
      </c>
      <c r="P84" s="31" t="n">
        <f aca="false">N84/1000*O84*(1+$E$5/100)</f>
        <v>0.07455</v>
      </c>
      <c r="Q84" s="32" t="n">
        <f aca="false">$E$14</f>
        <v>3</v>
      </c>
      <c r="R84" s="31" t="n">
        <f aca="false">Q84/1000*$E$10</f>
        <v>0.00348</v>
      </c>
      <c r="S84" s="31" t="n">
        <f aca="false">IF(J84="","",SUM(L84:M84,P84,R84))</f>
        <v>0.49841</v>
      </c>
      <c r="T84" s="31" t="str">
        <f aca="false">IF(OR(J84="",K84=$E$4),"Élevé - FE PA générique",IF(W84&lt;&gt;"","À vérifier","Moyen"))</f>
        <v>Élevé - FE PA générique</v>
      </c>
      <c r="U84" s="31" t="s">
        <v>493</v>
      </c>
      <c r="V84" s="31" t="s">
        <v>456</v>
      </c>
      <c r="W84" s="31"/>
      <c r="X84" s="1" t="str">
        <f aca="false">IF(A84="","",IF(OR(ISNUMBER(SEARCH("poche",C84)),ISNUMBER(SEARCH("ampoule",C84)),ISNUMBER(SEARCH("plastique",C84))),"Prêt à être dilué / administré (hypothèse)","Reconstitution nécessaire (hypothèse)"))</f>
        <v>Reconstitution nécessaire (hypothèse)</v>
      </c>
      <c r="Y84" s="1" t="str">
        <f aca="false">IF(A84="","",IF(ISNUMBER(SEARCH("Reconstitution",X84)),"Flacon/poudre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4" s="1" t="n">
        <f aca="false">IF(A84="","",IF(ISNUMBER(SEARCH("Reconstitution",X84)),1,0))</f>
        <v>1</v>
      </c>
      <c r="AA84" s="1" t="str">
        <f aca="false">IF(Z84&gt;0,"SERINGUE_PP_24ML","")</f>
        <v>SERINGUE_PP_24ML</v>
      </c>
      <c r="AB84" s="27" t="n">
        <f aca="false">IF(Z84&gt;0,Z84*VLOOKUP(AA84,FACTEURS_ITEMS!$A$3:$J$30,4,FALSE()),0)</f>
        <v>0.069</v>
      </c>
      <c r="AC84" s="1" t="n">
        <f aca="false">IF(A84="","",IF(ISNUMBER(SEARCH("Reconstitution",X84)),1,0))</f>
        <v>1</v>
      </c>
      <c r="AD84" s="1" t="str">
        <f aca="false">IF(AC84&gt;0,"AIGUILLE_RECONSTITUTION","")</f>
        <v>AIGUILLE_RECONSTITUTION</v>
      </c>
      <c r="AE84" s="27" t="n">
        <f aca="false">IF(AC84&gt;0,AC84*VLOOKUP(AD84,FACTEURS_ITEMS!$A$3:$J$30,4,FALSE()),0)</f>
        <v>0.01</v>
      </c>
      <c r="AF84" s="27" t="n">
        <f aca="false">IF(A84="","",AB84+AE84)</f>
        <v>0.079</v>
      </c>
      <c r="AG84" s="27" t="n">
        <f aca="false">IF(A84="","",S84+AF84)</f>
        <v>0.57741</v>
      </c>
      <c r="AH84" s="1" t="str">
        <f aca="false">IF(A84="","",IF(AF84&gt;0,"ACV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5" customFormat="false" ht="27.75" hidden="false" customHeight="true" outlineLevel="0" collapsed="false">
      <c r="A85" s="31" t="s">
        <v>548</v>
      </c>
      <c r="B85" s="31" t="s">
        <v>549</v>
      </c>
      <c r="C85" s="31" t="s">
        <v>454</v>
      </c>
      <c r="D85" s="31" t="s">
        <v>547</v>
      </c>
      <c r="E85" s="31" t="n">
        <v>2000</v>
      </c>
      <c r="F85" s="31" t="s">
        <v>550</v>
      </c>
      <c r="G85" s="31" t="n">
        <v>250</v>
      </c>
      <c r="H85" s="31"/>
      <c r="I85" s="31"/>
      <c r="J85" s="31" t="n">
        <f aca="false">IFERROR(SUM(E85,G85,I85)/1000,"")</f>
        <v>2.25</v>
      </c>
      <c r="K85" s="32" t="n">
        <f aca="false">$E$4</f>
        <v>100</v>
      </c>
      <c r="L85" s="31" t="n">
        <f aca="false">IF(J85="","",J85/1000*K85*(1+$E$5/100))</f>
        <v>0.23625</v>
      </c>
      <c r="M85" s="31" t="n">
        <f aca="false">IF(J85="","",J85/1000*$E$6)</f>
        <v>0.00021375</v>
      </c>
      <c r="N85" s="32" t="n">
        <f aca="false">IF(C85="ampoule verre",$E$12,IF(C85="poche PEA",$E$13,$E$11))</f>
        <v>10</v>
      </c>
      <c r="O85" s="32" t="n">
        <f aca="false">IF(C85="ampoule verre",$E$8,IF(C85="poche PEA",$E$9,$E$7))</f>
        <v>7.1</v>
      </c>
      <c r="P85" s="31" t="n">
        <f aca="false">N85/1000*O85*(1+$E$5/100)</f>
        <v>0.07455</v>
      </c>
      <c r="Q85" s="32" t="n">
        <f aca="false">$E$14</f>
        <v>3</v>
      </c>
      <c r="R85" s="31" t="n">
        <f aca="false">Q85/1000*$E$10</f>
        <v>0.00348</v>
      </c>
      <c r="S85" s="31" t="n">
        <f aca="false">IF(J85="","",SUM(L85:M85,P85,R85))</f>
        <v>0.31449375</v>
      </c>
      <c r="T85" s="31" t="str">
        <f aca="false">IF(OR(J85="",K85=$E$4),"Élevé - FE PA générique",IF(W85&lt;&gt;"","À vérifier","Moyen"))</f>
        <v>Élevé - FE PA générique</v>
      </c>
      <c r="U85" s="31" t="s">
        <v>455</v>
      </c>
      <c r="V85" s="31" t="s">
        <v>456</v>
      </c>
      <c r="W85" s="31"/>
      <c r="X85" s="1" t="str">
        <f aca="false">IF(A85="","",IF(OR(ISNUMBER(SEARCH("poche",C85)),ISNUMBER(SEARCH("ampoule",C85)),ISNUMBER(SEARCH("plastique",C85))),"Prêt à être dilué / administré (hypothèse)","Reconstitution nécessaire (hypothèse)"))</f>
        <v>Reconstitution nécessaire (hypothèse)</v>
      </c>
      <c r="Y85" s="1" t="str">
        <f aca="false">IF(A85="","",IF(ISNUMBER(SEARCH("Reconstitution",X85)),"Flacon/poudre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5" s="1" t="n">
        <f aca="false">IF(A85="","",IF(ISNUMBER(SEARCH("Reconstitution",X85)),1,0))</f>
        <v>1</v>
      </c>
      <c r="AA85" s="1" t="str">
        <f aca="false">IF(Z85&gt;0,"SERINGUE_PP_24ML","")</f>
        <v>SERINGUE_PP_24ML</v>
      </c>
      <c r="AB85" s="27" t="n">
        <f aca="false">IF(Z85&gt;0,Z85*VLOOKUP(AA85,FACTEURS_ITEMS!$A$3:$J$30,4,FALSE()),0)</f>
        <v>0.069</v>
      </c>
      <c r="AC85" s="1" t="n">
        <f aca="false">IF(A85="","",IF(ISNUMBER(SEARCH("Reconstitution",X85)),1,0))</f>
        <v>1</v>
      </c>
      <c r="AD85" s="1" t="str">
        <f aca="false">IF(AC85&gt;0,"AIGUILLE_RECONSTITUTION","")</f>
        <v>AIGUILLE_RECONSTITUTION</v>
      </c>
      <c r="AE85" s="27" t="n">
        <f aca="false">IF(AC85&gt;0,AC85*VLOOKUP(AD85,FACTEURS_ITEMS!$A$3:$J$30,4,FALSE()),0)</f>
        <v>0.01</v>
      </c>
      <c r="AF85" s="27" t="n">
        <f aca="false">IF(A85="","",AB85+AE85)</f>
        <v>0.079</v>
      </c>
      <c r="AG85" s="27" t="n">
        <f aca="false">IF(A85="","",S85+AF85)</f>
        <v>0.39349375</v>
      </c>
      <c r="AH85" s="1" t="str">
        <f aca="false">IF(A85="","",IF(AF85&gt;0,"ACV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6" customFormat="false" ht="27.75" hidden="false" customHeight="true" outlineLevel="0" collapsed="false">
      <c r="A86" s="31" t="s">
        <v>548</v>
      </c>
      <c r="B86" s="31" t="s">
        <v>551</v>
      </c>
      <c r="C86" s="31" t="s">
        <v>454</v>
      </c>
      <c r="D86" s="31" t="s">
        <v>547</v>
      </c>
      <c r="E86" s="31" t="n">
        <v>4000</v>
      </c>
      <c r="F86" s="31" t="s">
        <v>550</v>
      </c>
      <c r="G86" s="31" t="n">
        <v>500</v>
      </c>
      <c r="H86" s="31"/>
      <c r="I86" s="31"/>
      <c r="J86" s="31" t="n">
        <f aca="false">IFERROR(SUM(E86,G86,I86)/1000,"")</f>
        <v>4.5</v>
      </c>
      <c r="K86" s="32" t="n">
        <f aca="false">$E$4</f>
        <v>100</v>
      </c>
      <c r="L86" s="31" t="n">
        <f aca="false">IF(J86="","",J86/1000*K86*(1+$E$5/100))</f>
        <v>0.4725</v>
      </c>
      <c r="M86" s="31" t="n">
        <f aca="false">IF(J86="","",J86/1000*$E$6)</f>
        <v>0.0004275</v>
      </c>
      <c r="N86" s="32" t="n">
        <f aca="false">IF(C86="ampoule verre",$E$12,IF(C86="poche PEA",$E$13,$E$11))</f>
        <v>10</v>
      </c>
      <c r="O86" s="32" t="n">
        <f aca="false">IF(C86="ampoule verre",$E$8,IF(C86="poche PEA",$E$9,$E$7))</f>
        <v>7.1</v>
      </c>
      <c r="P86" s="31" t="n">
        <f aca="false">N86/1000*O86*(1+$E$5/100)</f>
        <v>0.07455</v>
      </c>
      <c r="Q86" s="32" t="n">
        <f aca="false">$E$14</f>
        <v>3</v>
      </c>
      <c r="R86" s="31" t="n">
        <f aca="false">Q86/1000*$E$10</f>
        <v>0.00348</v>
      </c>
      <c r="S86" s="31" t="n">
        <f aca="false">IF(J86="","",SUM(L86:M86,P86,R86))</f>
        <v>0.5509575</v>
      </c>
      <c r="T86" s="31" t="str">
        <f aca="false">IF(OR(J86="",K86=$E$4),"Élevé - FE PA générique",IF(W86&lt;&gt;"","À vérifier","Moyen"))</f>
        <v>Élevé - FE PA générique</v>
      </c>
      <c r="U86" s="31" t="s">
        <v>455</v>
      </c>
      <c r="V86" s="31" t="s">
        <v>456</v>
      </c>
      <c r="W86" s="31"/>
      <c r="X86" s="1" t="str">
        <f aca="false">IF(A86="","",IF(OR(ISNUMBER(SEARCH("poche",C86)),ISNUMBER(SEARCH("ampoule",C86)),ISNUMBER(SEARCH("plastique",C86))),"Prêt à être dilué / administré (hypothèse)","Reconstitution nécessaire (hypothèse)"))</f>
        <v>Reconstitution nécessaire (hypothèse)</v>
      </c>
      <c r="Y86" s="1" t="str">
        <f aca="false">IF(A86="","",IF(ISNUMBER(SEARCH("Reconstitution",X86)),"Flacon/poudre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6" s="1" t="n">
        <f aca="false">IF(A86="","",IF(ISNUMBER(SEARCH("Reconstitution",X86)),1,0))</f>
        <v>1</v>
      </c>
      <c r="AA86" s="1" t="str">
        <f aca="false">IF(Z86&gt;0,"SERINGUE_PP_24ML","")</f>
        <v>SERINGUE_PP_24ML</v>
      </c>
      <c r="AB86" s="27" t="n">
        <f aca="false">IF(Z86&gt;0,Z86*VLOOKUP(AA86,FACTEURS_ITEMS!$A$3:$J$30,4,FALSE()),0)</f>
        <v>0.069</v>
      </c>
      <c r="AC86" s="1" t="n">
        <f aca="false">IF(A86="","",IF(ISNUMBER(SEARCH("Reconstitution",X86)),1,0))</f>
        <v>1</v>
      </c>
      <c r="AD86" s="1" t="str">
        <f aca="false">IF(AC86&gt;0,"AIGUILLE_RECONSTITUTION","")</f>
        <v>AIGUILLE_RECONSTITUTION</v>
      </c>
      <c r="AE86" s="27" t="n">
        <f aca="false">IF(AC86&gt;0,AC86*VLOOKUP(AD86,FACTEURS_ITEMS!$A$3:$J$30,4,FALSE()),0)</f>
        <v>0.01</v>
      </c>
      <c r="AF86" s="27" t="n">
        <f aca="false">IF(A86="","",AB86+AE86)</f>
        <v>0.079</v>
      </c>
      <c r="AG86" s="27" t="n">
        <f aca="false">IF(A86="","",S86+AF86)</f>
        <v>0.6299575</v>
      </c>
      <c r="AH86" s="1" t="str">
        <f aca="false">IF(A86="","",IF(AF86&gt;0,"ACV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7" customFormat="false" ht="27.75" hidden="false" customHeight="true" outlineLevel="0" collapsed="false">
      <c r="A87" s="31" t="s">
        <v>552</v>
      </c>
      <c r="B87" s="31" t="s">
        <v>553</v>
      </c>
      <c r="C87" s="31" t="s">
        <v>454</v>
      </c>
      <c r="D87" s="31" t="s">
        <v>554</v>
      </c>
      <c r="E87" s="31" t="n">
        <v>600</v>
      </c>
      <c r="F87" s="31"/>
      <c r="G87" s="31"/>
      <c r="H87" s="31"/>
      <c r="I87" s="31"/>
      <c r="J87" s="31" t="n">
        <f aca="false">IFERROR(SUM(E87,G87,I87)/1000,"")</f>
        <v>0.6</v>
      </c>
      <c r="K87" s="32" t="n">
        <f aca="false">$E$4</f>
        <v>100</v>
      </c>
      <c r="L87" s="31" t="n">
        <f aca="false">IF(J87="","",J87/1000*K87*(1+$E$5/100))</f>
        <v>0.063</v>
      </c>
      <c r="M87" s="31" t="n">
        <f aca="false">IF(J87="","",J87/1000*$E$6)</f>
        <v>5.7E-005</v>
      </c>
      <c r="N87" s="32" t="n">
        <f aca="false">IF(C87="ampoule verre",$E$12,IF(C87="poche PEA",$E$13,$E$11))</f>
        <v>10</v>
      </c>
      <c r="O87" s="32" t="n">
        <f aca="false">IF(C87="ampoule verre",$E$8,IF(C87="poche PEA",$E$9,$E$7))</f>
        <v>7.1</v>
      </c>
      <c r="P87" s="31" t="n">
        <f aca="false">N87/1000*O87*(1+$E$5/100)</f>
        <v>0.07455</v>
      </c>
      <c r="Q87" s="32" t="n">
        <f aca="false">$E$14</f>
        <v>3</v>
      </c>
      <c r="R87" s="31" t="n">
        <f aca="false">Q87/1000*$E$10</f>
        <v>0.00348</v>
      </c>
      <c r="S87" s="31" t="n">
        <f aca="false">IF(J87="","",SUM(L87:M87,P87,R87))</f>
        <v>0.141087</v>
      </c>
      <c r="T87" s="31" t="str">
        <f aca="false">IF(OR(J87="",K87=$E$4),"Élevé - FE PA générique",IF(W87&lt;&gt;"","À vérifier","Moyen"))</f>
        <v>Élevé - FE PA générique</v>
      </c>
      <c r="U87" s="31" t="s">
        <v>455</v>
      </c>
      <c r="V87" s="31" t="s">
        <v>456</v>
      </c>
      <c r="W87" s="31"/>
      <c r="X87" s="1" t="str">
        <f aca="false">IF(A87="","",IF(OR(ISNUMBER(SEARCH("poche",C87)),ISNUMBER(SEARCH("ampoule",C87)),ISNUMBER(SEARCH("plastique",C87))),"Prêt à être dilué / administré (hypothèse)","Reconstitution nécessaire (hypothèse)"))</f>
        <v>Reconstitution nécessaire (hypothèse)</v>
      </c>
      <c r="Y87" s="1" t="str">
        <f aca="false">IF(A87="","",IF(ISNUMBER(SEARCH("Reconstitution",X87)),"Flacon/poudre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7" s="1" t="n">
        <f aca="false">IF(A87="","",IF(ISNUMBER(SEARCH("Reconstitution",X87)),1,0))</f>
        <v>1</v>
      </c>
      <c r="AA87" s="1" t="str">
        <f aca="false">IF(Z87&gt;0,"SERINGUE_PP_24ML","")</f>
        <v>SERINGUE_PP_24ML</v>
      </c>
      <c r="AB87" s="27" t="n">
        <f aca="false">IF(Z87&gt;0,Z87*VLOOKUP(AA87,FACTEURS_ITEMS!$A$3:$J$30,4,FALSE()),0)</f>
        <v>0.069</v>
      </c>
      <c r="AC87" s="1" t="n">
        <f aca="false">IF(A87="","",IF(ISNUMBER(SEARCH("Reconstitution",X87)),1,0))</f>
        <v>1</v>
      </c>
      <c r="AD87" s="1" t="str">
        <f aca="false">IF(AC87&gt;0,"AIGUILLE_RECONSTITUTION","")</f>
        <v>AIGUILLE_RECONSTITUTION</v>
      </c>
      <c r="AE87" s="27" t="n">
        <f aca="false">IF(AC87&gt;0,AC87*VLOOKUP(AD87,FACTEURS_ITEMS!$A$3:$J$30,4,FALSE()),0)</f>
        <v>0.01</v>
      </c>
      <c r="AF87" s="27" t="n">
        <f aca="false">IF(A87="","",AB87+AE87)</f>
        <v>0.079</v>
      </c>
      <c r="AG87" s="27" t="n">
        <f aca="false">IF(A87="","",S87+AF87)</f>
        <v>0.220087</v>
      </c>
      <c r="AH87" s="1" t="str">
        <f aca="false">IF(A87="","",IF(AF87&gt;0,"ACV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8" customFormat="false" ht="27.75" hidden="false" customHeight="true" outlineLevel="0" collapsed="false">
      <c r="A88" s="31" t="s">
        <v>555</v>
      </c>
      <c r="B88" s="31" t="s">
        <v>556</v>
      </c>
      <c r="C88" s="31" t="s">
        <v>454</v>
      </c>
      <c r="D88" s="31" t="s">
        <v>555</v>
      </c>
      <c r="E88" s="33" t="n">
        <v>500</v>
      </c>
      <c r="F88" s="31"/>
      <c r="G88" s="31"/>
      <c r="H88" s="31"/>
      <c r="I88" s="31"/>
      <c r="J88" s="31" t="n">
        <f aca="false">IFERROR(SUM(E88,G88,I88)/1000,"")</f>
        <v>0.5</v>
      </c>
      <c r="K88" s="32" t="n">
        <f aca="false">$E$4</f>
        <v>100</v>
      </c>
      <c r="L88" s="31" t="n">
        <f aca="false">IF(J88="","",J88/1000*K88*(1+$E$5/100))</f>
        <v>0.0525</v>
      </c>
      <c r="M88" s="31" t="n">
        <f aca="false">IF(J88="","",J88/1000*$E$6)</f>
        <v>4.75E-005</v>
      </c>
      <c r="N88" s="32" t="n">
        <f aca="false">IF(C88="ampoule verre",$E$12,IF(C88="poche PEA",$E$13,$E$11))</f>
        <v>10</v>
      </c>
      <c r="O88" s="32" t="n">
        <f aca="false">IF(C88="ampoule verre",$E$8,IF(C88="poche PEA",$E$9,$E$7))</f>
        <v>7.1</v>
      </c>
      <c r="P88" s="31" t="n">
        <f aca="false">N88/1000*O88*(1+$E$5/100)</f>
        <v>0.07455</v>
      </c>
      <c r="Q88" s="32" t="n">
        <f aca="false">$E$14</f>
        <v>3</v>
      </c>
      <c r="R88" s="31" t="n">
        <f aca="false">Q88/1000*$E$10</f>
        <v>0.00348</v>
      </c>
      <c r="S88" s="31" t="n">
        <f aca="false">IF(J88="","",SUM(L88:M88,P88,R88))</f>
        <v>0.1305775</v>
      </c>
      <c r="T88" s="31" t="str">
        <f aca="false">IF(OR(J88="",K88=$E$4),"Élevé - FE PA générique",IF(W88&lt;&gt;"","À vérifier","Moyen"))</f>
        <v>Élevé - FE PA générique</v>
      </c>
      <c r="U88" s="31" t="s">
        <v>557</v>
      </c>
      <c r="V88" s="31" t="s">
        <v>456</v>
      </c>
      <c r="W88" s="31" t="s">
        <v>558</v>
      </c>
      <c r="X88" s="1" t="str">
        <f aca="false">IF(A88="","",IF(OR(ISNUMBER(SEARCH("poche",C88)),ISNUMBER(SEARCH("ampoule",C88)),ISNUMBER(SEARCH("plastique",C88))),"Prêt à être dilué / administré (hypothèse)","Reconstitution nécessaire (hypothèse)"))</f>
        <v>Reconstitution nécessaire (hypothèse)</v>
      </c>
      <c r="Y88" s="1" t="str">
        <f aca="false">IF(A88="","",IF(ISNUMBER(SEARCH("Reconstitution",X88)),"Flacon/poudre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8" s="1" t="n">
        <f aca="false">IF(A88="","",IF(ISNUMBER(SEARCH("Reconstitution",X88)),1,0))</f>
        <v>1</v>
      </c>
      <c r="AA88" s="1" t="str">
        <f aca="false">IF(Z88&gt;0,"SERINGUE_PP_24ML","")</f>
        <v>SERINGUE_PP_24ML</v>
      </c>
      <c r="AB88" s="27" t="n">
        <f aca="false">IF(Z88&gt;0,Z88*VLOOKUP(AA88,FACTEURS_ITEMS!$A$3:$J$30,4,FALSE()),0)</f>
        <v>0.069</v>
      </c>
      <c r="AC88" s="1" t="n">
        <f aca="false">IF(A88="","",IF(ISNUMBER(SEARCH("Reconstitution",X88)),1,0))</f>
        <v>1</v>
      </c>
      <c r="AD88" s="1" t="str">
        <f aca="false">IF(AC88&gt;0,"AIGUILLE_RECONSTITUTION","")</f>
        <v>AIGUILLE_RECONSTITUTION</v>
      </c>
      <c r="AE88" s="27" t="n">
        <f aca="false">IF(AC88&gt;0,AC88*VLOOKUP(AD88,FACTEURS_ITEMS!$A$3:$J$30,4,FALSE()),0)</f>
        <v>0.01</v>
      </c>
      <c r="AF88" s="27" t="n">
        <f aca="false">IF(A88="","",AB88+AE88)</f>
        <v>0.079</v>
      </c>
      <c r="AG88" s="27" t="n">
        <f aca="false">IF(A88="","",S88+AF88)</f>
        <v>0.2095775</v>
      </c>
      <c r="AH88" s="1" t="str">
        <f aca="false">IF(A88="","",IF(AF88&gt;0,"ACV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89" customFormat="false" ht="27.75" hidden="false" customHeight="true" outlineLevel="0" collapsed="false">
      <c r="A89" s="31" t="s">
        <v>555</v>
      </c>
      <c r="B89" s="31" t="s">
        <v>559</v>
      </c>
      <c r="C89" s="31" t="s">
        <v>454</v>
      </c>
      <c r="D89" s="31" t="s">
        <v>555</v>
      </c>
      <c r="E89" s="33" t="n">
        <v>1000</v>
      </c>
      <c r="F89" s="31"/>
      <c r="G89" s="31"/>
      <c r="H89" s="31"/>
      <c r="I89" s="31"/>
      <c r="J89" s="31" t="n">
        <f aca="false">IFERROR(SUM(E89,G89,I89)/1000,"")</f>
        <v>1</v>
      </c>
      <c r="K89" s="32" t="n">
        <f aca="false">$E$4</f>
        <v>100</v>
      </c>
      <c r="L89" s="31" t="n">
        <f aca="false">IF(J89="","",J89/1000*K89*(1+$E$5/100))</f>
        <v>0.105</v>
      </c>
      <c r="M89" s="31" t="n">
        <f aca="false">IF(J89="","",J89/1000*$E$6)</f>
        <v>9.5E-005</v>
      </c>
      <c r="N89" s="32" t="n">
        <f aca="false">IF(C89="ampoule verre",$E$12,IF(C89="poche PEA",$E$13,$E$11))</f>
        <v>10</v>
      </c>
      <c r="O89" s="32" t="n">
        <f aca="false">IF(C89="ampoule verre",$E$8,IF(C89="poche PEA",$E$9,$E$7))</f>
        <v>7.1</v>
      </c>
      <c r="P89" s="31" t="n">
        <f aca="false">N89/1000*O89*(1+$E$5/100)</f>
        <v>0.07455</v>
      </c>
      <c r="Q89" s="32" t="n">
        <f aca="false">$E$14</f>
        <v>3</v>
      </c>
      <c r="R89" s="31" t="n">
        <f aca="false">Q89/1000*$E$10</f>
        <v>0.00348</v>
      </c>
      <c r="S89" s="31" t="n">
        <f aca="false">IF(J89="","",SUM(L89:M89,P89,R89))</f>
        <v>0.183125</v>
      </c>
      <c r="T89" s="31" t="str">
        <f aca="false">IF(OR(J89="",K89=$E$4),"Élevé - FE PA générique",IF(W89&lt;&gt;"","À vérifier","Moyen"))</f>
        <v>Élevé - FE PA générique</v>
      </c>
      <c r="U89" s="31" t="s">
        <v>557</v>
      </c>
      <c r="V89" s="31" t="s">
        <v>456</v>
      </c>
      <c r="W89" s="31" t="s">
        <v>558</v>
      </c>
      <c r="X89" s="1" t="str">
        <f aca="false">IF(A89="","",IF(OR(ISNUMBER(SEARCH("poche",C89)),ISNUMBER(SEARCH("ampoule",C89)),ISNUMBER(SEARCH("plastique",C89))),"Prêt à être dilué / administré (hypothèse)","Reconstitution nécessaire (hypothèse)"))</f>
        <v>Reconstitution nécessaire (hypothèse)</v>
      </c>
      <c r="Y89" s="1" t="str">
        <f aca="false">IF(A89="","",IF(ISNUMBER(SEARCH("Reconstitution",X89)),"Flacon/poudre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89" s="1" t="n">
        <f aca="false">IF(A89="","",IF(ISNUMBER(SEARCH("Reconstitution",X89)),1,0))</f>
        <v>1</v>
      </c>
      <c r="AA89" s="1" t="str">
        <f aca="false">IF(Z89&gt;0,"SERINGUE_PP_24ML","")</f>
        <v>SERINGUE_PP_24ML</v>
      </c>
      <c r="AB89" s="27" t="n">
        <f aca="false">IF(Z89&gt;0,Z89*VLOOKUP(AA89,FACTEURS_ITEMS!$A$3:$J$30,4,FALSE()),0)</f>
        <v>0.069</v>
      </c>
      <c r="AC89" s="1" t="n">
        <f aca="false">IF(A89="","",IF(ISNUMBER(SEARCH("Reconstitution",X89)),1,0))</f>
        <v>1</v>
      </c>
      <c r="AD89" s="1" t="str">
        <f aca="false">IF(AC89&gt;0,"AIGUILLE_RECONSTITUTION","")</f>
        <v>AIGUILLE_RECONSTITUTION</v>
      </c>
      <c r="AE89" s="27" t="n">
        <f aca="false">IF(AC89&gt;0,AC89*VLOOKUP(AD89,FACTEURS_ITEMS!$A$3:$J$30,4,FALSE()),0)</f>
        <v>0.01</v>
      </c>
      <c r="AF89" s="27" t="n">
        <f aca="false">IF(A89="","",AB89+AE89)</f>
        <v>0.079</v>
      </c>
      <c r="AG89" s="27" t="n">
        <f aca="false">IF(A89="","",S89+AF89)</f>
        <v>0.262125</v>
      </c>
      <c r="AH89" s="1" t="str">
        <f aca="false">IF(A89="","",IF(AF89&gt;0,"ACV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0" customFormat="false" ht="27.75" hidden="false" customHeight="true" outlineLevel="0" collapsed="false">
      <c r="A90" s="31" t="s">
        <v>560</v>
      </c>
      <c r="B90" s="31" t="s">
        <v>533</v>
      </c>
      <c r="C90" s="31" t="s">
        <v>454</v>
      </c>
      <c r="D90" s="31" t="s">
        <v>560</v>
      </c>
      <c r="E90" s="31" t="n">
        <v>200</v>
      </c>
      <c r="F90" s="31"/>
      <c r="G90" s="31"/>
      <c r="H90" s="31"/>
      <c r="I90" s="31"/>
      <c r="J90" s="31" t="n">
        <f aca="false">IFERROR(SUM(E90,G90,I90)/1000,"")</f>
        <v>0.2</v>
      </c>
      <c r="K90" s="32" t="n">
        <f aca="false">$E$4</f>
        <v>100</v>
      </c>
      <c r="L90" s="31" t="n">
        <f aca="false">IF(J90="","",J90/1000*K90*(1+$E$5/100))</f>
        <v>0.021</v>
      </c>
      <c r="M90" s="31" t="n">
        <f aca="false">IF(J90="","",J90/1000*$E$6)</f>
        <v>1.9E-005</v>
      </c>
      <c r="N90" s="32" t="n">
        <f aca="false">IF(C90="ampoule verre",$E$12,IF(C90="poche PEA",$E$13,$E$11))</f>
        <v>10</v>
      </c>
      <c r="O90" s="32" t="n">
        <f aca="false">IF(C90="ampoule verre",$E$8,IF(C90="poche PEA",$E$9,$E$7))</f>
        <v>7.1</v>
      </c>
      <c r="P90" s="31" t="n">
        <f aca="false">N90/1000*O90*(1+$E$5/100)</f>
        <v>0.07455</v>
      </c>
      <c r="Q90" s="32" t="n">
        <f aca="false">$E$14</f>
        <v>3</v>
      </c>
      <c r="R90" s="31" t="n">
        <f aca="false">Q90/1000*$E$10</f>
        <v>0.00348</v>
      </c>
      <c r="S90" s="31" t="n">
        <f aca="false">IF(J90="","",SUM(L90:M90,P90,R90))</f>
        <v>0.099049</v>
      </c>
      <c r="T90" s="31" t="str">
        <f aca="false">IF(OR(J90="",K90=$E$4),"Élevé - FE PA générique",IF(W90&lt;&gt;"","À vérifier","Moyen"))</f>
        <v>Élevé - FE PA générique</v>
      </c>
      <c r="U90" s="31" t="s">
        <v>455</v>
      </c>
      <c r="V90" s="31" t="s">
        <v>456</v>
      </c>
      <c r="W90" s="31"/>
      <c r="X90" s="1" t="str">
        <f aca="false">IF(A90="","",IF(OR(ISNUMBER(SEARCH("poche",C90)),ISNUMBER(SEARCH("ampoule",C90)),ISNUMBER(SEARCH("plastique",C90))),"Prêt à être dilué / administré (hypothèse)","Reconstitution nécessaire (hypothèse)"))</f>
        <v>Reconstitution nécessaire (hypothèse)</v>
      </c>
      <c r="Y90" s="1" t="str">
        <f aca="false">IF(A90="","",IF(ISNUMBER(SEARCH("Reconstitution",X90)),"Flacon/poudre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0" s="1" t="n">
        <f aca="false">IF(A90="","",IF(ISNUMBER(SEARCH("Reconstitution",X90)),1,0))</f>
        <v>1</v>
      </c>
      <c r="AA90" s="1" t="str">
        <f aca="false">IF(Z90&gt;0,"SERINGUE_PP_24ML","")</f>
        <v>SERINGUE_PP_24ML</v>
      </c>
      <c r="AB90" s="27" t="n">
        <f aca="false">IF(Z90&gt;0,Z90*VLOOKUP(AA90,FACTEURS_ITEMS!$A$3:$J$30,4,FALSE()),0)</f>
        <v>0.069</v>
      </c>
      <c r="AC90" s="1" t="n">
        <f aca="false">IF(A90="","",IF(ISNUMBER(SEARCH("Reconstitution",X90)),1,0))</f>
        <v>1</v>
      </c>
      <c r="AD90" s="1" t="str">
        <f aca="false">IF(AC90&gt;0,"AIGUILLE_RECONSTITUTION","")</f>
        <v>AIGUILLE_RECONSTITUTION</v>
      </c>
      <c r="AE90" s="27" t="n">
        <f aca="false">IF(AC90&gt;0,AC90*VLOOKUP(AD90,FACTEURS_ITEMS!$A$3:$J$30,4,FALSE()),0)</f>
        <v>0.01</v>
      </c>
      <c r="AF90" s="27" t="n">
        <f aca="false">IF(A90="","",AB90+AE90)</f>
        <v>0.079</v>
      </c>
      <c r="AG90" s="27" t="n">
        <f aca="false">IF(A90="","",S90+AF90)</f>
        <v>0.178049</v>
      </c>
      <c r="AH90" s="1" t="str">
        <f aca="false">IF(A90="","",IF(AF90&gt;0,"ACV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1" customFormat="false" ht="27.75" hidden="false" customHeight="true" outlineLevel="0" collapsed="false">
      <c r="A91" s="31" t="s">
        <v>561</v>
      </c>
      <c r="B91" s="31" t="s">
        <v>533</v>
      </c>
      <c r="C91" s="31" t="s">
        <v>454</v>
      </c>
      <c r="D91" s="31" t="s">
        <v>561</v>
      </c>
      <c r="E91" s="31" t="n">
        <v>200</v>
      </c>
      <c r="F91" s="31"/>
      <c r="G91" s="31"/>
      <c r="H91" s="31"/>
      <c r="I91" s="31"/>
      <c r="J91" s="31" t="n">
        <f aca="false">IFERROR(SUM(E91,G91,I91)/1000,"")</f>
        <v>0.2</v>
      </c>
      <c r="K91" s="32" t="n">
        <f aca="false">$E$4</f>
        <v>100</v>
      </c>
      <c r="L91" s="31" t="n">
        <f aca="false">IF(J91="","",J91/1000*K91*(1+$E$5/100))</f>
        <v>0.021</v>
      </c>
      <c r="M91" s="31" t="n">
        <f aca="false">IF(J91="","",J91/1000*$E$6)</f>
        <v>1.9E-005</v>
      </c>
      <c r="N91" s="32" t="n">
        <f aca="false">IF(C91="ampoule verre",$E$12,IF(C91="poche PEA",$E$13,$E$11))</f>
        <v>10</v>
      </c>
      <c r="O91" s="32" t="n">
        <f aca="false">IF(C91="ampoule verre",$E$8,IF(C91="poche PEA",$E$9,$E$7))</f>
        <v>7.1</v>
      </c>
      <c r="P91" s="31" t="n">
        <f aca="false">N91/1000*O91*(1+$E$5/100)</f>
        <v>0.07455</v>
      </c>
      <c r="Q91" s="32" t="n">
        <f aca="false">$E$14</f>
        <v>3</v>
      </c>
      <c r="R91" s="31" t="n">
        <f aca="false">Q91/1000*$E$10</f>
        <v>0.00348</v>
      </c>
      <c r="S91" s="31" t="n">
        <f aca="false">IF(J91="","",SUM(L91:M91,P91,R91))</f>
        <v>0.099049</v>
      </c>
      <c r="T91" s="31" t="str">
        <f aca="false">IF(OR(J91="",K91=$E$4),"Élevé - FE PA générique",IF(W91&lt;&gt;"","À vérifier","Moyen"))</f>
        <v>Élevé - FE PA générique</v>
      </c>
      <c r="U91" s="31" t="s">
        <v>455</v>
      </c>
      <c r="V91" s="31" t="s">
        <v>456</v>
      </c>
      <c r="W91" s="31"/>
      <c r="X91" s="1" t="str">
        <f aca="false">IF(A91="","",IF(OR(ISNUMBER(SEARCH("poche",C91)),ISNUMBER(SEARCH("ampoule",C91)),ISNUMBER(SEARCH("plastique",C91))),"Prêt à être dilué / administré (hypothèse)","Reconstitution nécessaire (hypothèse)"))</f>
        <v>Reconstitution nécessaire (hypothèse)</v>
      </c>
      <c r="Y91" s="1" t="str">
        <f aca="false">IF(A91="","",IF(ISNUMBER(SEARCH("Reconstitution",X91)),"Flacon/poudre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1" s="1" t="n">
        <f aca="false">IF(A91="","",IF(ISNUMBER(SEARCH("Reconstitution",X91)),1,0))</f>
        <v>1</v>
      </c>
      <c r="AA91" s="1" t="str">
        <f aca="false">IF(Z91&gt;0,"SERINGUE_PP_24ML","")</f>
        <v>SERINGUE_PP_24ML</v>
      </c>
      <c r="AB91" s="27" t="n">
        <f aca="false">IF(Z91&gt;0,Z91*VLOOKUP(AA91,FACTEURS_ITEMS!$A$3:$J$30,4,FALSE()),0)</f>
        <v>0.069</v>
      </c>
      <c r="AC91" s="1" t="n">
        <f aca="false">IF(A91="","",IF(ISNUMBER(SEARCH("Reconstitution",X91)),1,0))</f>
        <v>1</v>
      </c>
      <c r="AD91" s="1" t="str">
        <f aca="false">IF(AC91&gt;0,"AIGUILLE_RECONSTITUTION","")</f>
        <v>AIGUILLE_RECONSTITUTION</v>
      </c>
      <c r="AE91" s="27" t="n">
        <f aca="false">IF(AC91&gt;0,AC91*VLOOKUP(AD91,FACTEURS_ITEMS!$A$3:$J$30,4,FALSE()),0)</f>
        <v>0.01</v>
      </c>
      <c r="AF91" s="27" t="n">
        <f aca="false">IF(A91="","",AB91+AE91)</f>
        <v>0.079</v>
      </c>
      <c r="AG91" s="27" t="n">
        <f aca="false">IF(A91="","",S91+AF91)</f>
        <v>0.178049</v>
      </c>
      <c r="AH91" s="1" t="str">
        <f aca="false">IF(A91="","",IF(AF91&gt;0,"ACV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2" customFormat="false" ht="27.75" hidden="false" customHeight="true" outlineLevel="0" collapsed="false">
      <c r="A92" s="31" t="s">
        <v>561</v>
      </c>
      <c r="B92" s="31" t="s">
        <v>562</v>
      </c>
      <c r="C92" s="31" t="s">
        <v>454</v>
      </c>
      <c r="D92" s="31" t="s">
        <v>561</v>
      </c>
      <c r="E92" s="31" t="n">
        <v>400</v>
      </c>
      <c r="F92" s="31"/>
      <c r="G92" s="31"/>
      <c r="H92" s="31"/>
      <c r="I92" s="31"/>
      <c r="J92" s="31" t="n">
        <f aca="false">IFERROR(SUM(E92,G92,I92)/1000,"")</f>
        <v>0.4</v>
      </c>
      <c r="K92" s="32" t="n">
        <f aca="false">$E$4</f>
        <v>100</v>
      </c>
      <c r="L92" s="31" t="n">
        <f aca="false">IF(J92="","",J92/1000*K92*(1+$E$5/100))</f>
        <v>0.042</v>
      </c>
      <c r="M92" s="31" t="n">
        <f aca="false">IF(J92="","",J92/1000*$E$6)</f>
        <v>3.8E-005</v>
      </c>
      <c r="N92" s="32" t="n">
        <f aca="false">IF(C92="ampoule verre",$E$12,IF(C92="poche PEA",$E$13,$E$11))</f>
        <v>10</v>
      </c>
      <c r="O92" s="32" t="n">
        <f aca="false">IF(C92="ampoule verre",$E$8,IF(C92="poche PEA",$E$9,$E$7))</f>
        <v>7.1</v>
      </c>
      <c r="P92" s="31" t="n">
        <f aca="false">N92/1000*O92*(1+$E$5/100)</f>
        <v>0.07455</v>
      </c>
      <c r="Q92" s="32" t="n">
        <f aca="false">$E$14</f>
        <v>3</v>
      </c>
      <c r="R92" s="31" t="n">
        <f aca="false">Q92/1000*$E$10</f>
        <v>0.00348</v>
      </c>
      <c r="S92" s="31" t="n">
        <f aca="false">IF(J92="","",SUM(L92:M92,P92,R92))</f>
        <v>0.120068</v>
      </c>
      <c r="T92" s="31" t="str">
        <f aca="false">IF(OR(J92="",K92=$E$4),"Élevé - FE PA générique",IF(W92&lt;&gt;"","À vérifier","Moyen"))</f>
        <v>Élevé - FE PA générique</v>
      </c>
      <c r="U92" s="31" t="s">
        <v>455</v>
      </c>
      <c r="V92" s="31" t="s">
        <v>456</v>
      </c>
      <c r="W92" s="31"/>
      <c r="X92" s="1" t="str">
        <f aca="false">IF(A92="","",IF(OR(ISNUMBER(SEARCH("poche",C92)),ISNUMBER(SEARCH("ampoule",C92)),ISNUMBER(SEARCH("plastique",C92))),"Prêt à être dilué / administré (hypothèse)","Reconstitution nécessaire (hypothèse)"))</f>
        <v>Reconstitution nécessaire (hypothèse)</v>
      </c>
      <c r="Y92" s="1" t="str">
        <f aca="false">IF(A92="","",IF(ISNUMBER(SEARCH("Reconstitution",X92)),"Flacon/poudre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2" s="1" t="n">
        <f aca="false">IF(A92="","",IF(ISNUMBER(SEARCH("Reconstitution",X92)),1,0))</f>
        <v>1</v>
      </c>
      <c r="AA92" s="1" t="str">
        <f aca="false">IF(Z92&gt;0,"SERINGUE_PP_24ML","")</f>
        <v>SERINGUE_PP_24ML</v>
      </c>
      <c r="AB92" s="27" t="n">
        <f aca="false">IF(Z92&gt;0,Z92*VLOOKUP(AA92,FACTEURS_ITEMS!$A$3:$J$30,4,FALSE()),0)</f>
        <v>0.069</v>
      </c>
      <c r="AC92" s="1" t="n">
        <f aca="false">IF(A92="","",IF(ISNUMBER(SEARCH("Reconstitution",X92)),1,0))</f>
        <v>1</v>
      </c>
      <c r="AD92" s="1" t="str">
        <f aca="false">IF(AC92&gt;0,"AIGUILLE_RECONSTITUTION","")</f>
        <v>AIGUILLE_RECONSTITUTION</v>
      </c>
      <c r="AE92" s="27" t="n">
        <f aca="false">IF(AC92&gt;0,AC92*VLOOKUP(AD92,FACTEURS_ITEMS!$A$3:$J$30,4,FALSE()),0)</f>
        <v>0.01</v>
      </c>
      <c r="AF92" s="27" t="n">
        <f aca="false">IF(A92="","",AB92+AE92)</f>
        <v>0.079</v>
      </c>
      <c r="AG92" s="27" t="n">
        <f aca="false">IF(A92="","",S92+AF92)</f>
        <v>0.199068</v>
      </c>
      <c r="AH92" s="1" t="str">
        <f aca="false">IF(A92="","",IF(AF92&gt;0,"ACV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3" customFormat="false" ht="27.75" hidden="false" customHeight="true" outlineLevel="0" collapsed="false">
      <c r="A93" s="31" t="s">
        <v>563</v>
      </c>
      <c r="B93" s="31" t="s">
        <v>464</v>
      </c>
      <c r="C93" s="31" t="s">
        <v>454</v>
      </c>
      <c r="D93" s="31" t="s">
        <v>563</v>
      </c>
      <c r="E93" s="31" t="n">
        <v>1000</v>
      </c>
      <c r="F93" s="31"/>
      <c r="G93" s="31"/>
      <c r="H93" s="31"/>
      <c r="I93" s="31"/>
      <c r="J93" s="31" t="n">
        <f aca="false">IFERROR(SUM(E93,G93,I93)/1000,"")</f>
        <v>1</v>
      </c>
      <c r="K93" s="32" t="n">
        <f aca="false">$E$4</f>
        <v>100</v>
      </c>
      <c r="L93" s="31" t="n">
        <f aca="false">IF(J93="","",J93/1000*K93*(1+$E$5/100))</f>
        <v>0.105</v>
      </c>
      <c r="M93" s="31" t="n">
        <f aca="false">IF(J93="","",J93/1000*$E$6)</f>
        <v>9.5E-005</v>
      </c>
      <c r="N93" s="32" t="n">
        <f aca="false">IF(C93="ampoule verre",$E$12,IF(C93="poche PEA",$E$13,$E$11))</f>
        <v>10</v>
      </c>
      <c r="O93" s="32" t="n">
        <f aca="false">IF(C93="ampoule verre",$E$8,IF(C93="poche PEA",$E$9,$E$7))</f>
        <v>7.1</v>
      </c>
      <c r="P93" s="31" t="n">
        <f aca="false">N93/1000*O93*(1+$E$5/100)</f>
        <v>0.07455</v>
      </c>
      <c r="Q93" s="32" t="n">
        <f aca="false">$E$14</f>
        <v>3</v>
      </c>
      <c r="R93" s="31" t="n">
        <f aca="false">Q93/1000*$E$10</f>
        <v>0.00348</v>
      </c>
      <c r="S93" s="31" t="n">
        <f aca="false">IF(J93="","",SUM(L93:M93,P93,R93))</f>
        <v>0.183125</v>
      </c>
      <c r="T93" s="31" t="str">
        <f aca="false">IF(OR(J93="",K93=$E$4),"Élevé - FE PA générique",IF(W93&lt;&gt;"","À vérifier","Moyen"))</f>
        <v>Élevé - FE PA générique</v>
      </c>
      <c r="U93" s="31" t="s">
        <v>455</v>
      </c>
      <c r="V93" s="31" t="s">
        <v>456</v>
      </c>
      <c r="W93" s="31"/>
      <c r="X93" s="1" t="str">
        <f aca="false">IF(A93="","",IF(OR(ISNUMBER(SEARCH("poche",C93)),ISNUMBER(SEARCH("ampoule",C93)),ISNUMBER(SEARCH("plastique",C93))),"Prêt à être dilué / administré (hypothèse)","Reconstitution nécessaire (hypothèse)"))</f>
        <v>Reconstitution nécessaire (hypothèse)</v>
      </c>
      <c r="Y93" s="1" t="str">
        <f aca="false">IF(A93="","",IF(ISNUMBER(SEARCH("Reconstitution",X93)),"Flacon/poudre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3" s="1" t="n">
        <f aca="false">IF(A93="","",IF(ISNUMBER(SEARCH("Reconstitution",X93)),1,0))</f>
        <v>1</v>
      </c>
      <c r="AA93" s="1" t="str">
        <f aca="false">IF(Z93&gt;0,"SERINGUE_PP_24ML","")</f>
        <v>SERINGUE_PP_24ML</v>
      </c>
      <c r="AB93" s="27" t="n">
        <f aca="false">IF(Z93&gt;0,Z93*VLOOKUP(AA93,FACTEURS_ITEMS!$A$3:$J$30,4,FALSE()),0)</f>
        <v>0.069</v>
      </c>
      <c r="AC93" s="1" t="n">
        <f aca="false">IF(A93="","",IF(ISNUMBER(SEARCH("Reconstitution",X93)),1,0))</f>
        <v>1</v>
      </c>
      <c r="AD93" s="1" t="str">
        <f aca="false">IF(AC93&gt;0,"AIGUILLE_RECONSTITUTION","")</f>
        <v>AIGUILLE_RECONSTITUTION</v>
      </c>
      <c r="AE93" s="27" t="n">
        <f aca="false">IF(AC93&gt;0,AC93*VLOOKUP(AD93,FACTEURS_ITEMS!$A$3:$J$30,4,FALSE()),0)</f>
        <v>0.01</v>
      </c>
      <c r="AF93" s="27" t="n">
        <f aca="false">IF(A93="","",AB93+AE93)</f>
        <v>0.079</v>
      </c>
      <c r="AG93" s="27" t="n">
        <f aca="false">IF(A93="","",S93+AF93)</f>
        <v>0.262125</v>
      </c>
      <c r="AH93" s="1" t="str">
        <f aca="false">IF(A93="","",IF(AF93&gt;0,"ACV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4" customFormat="false" ht="27.75" hidden="false" customHeight="true" outlineLevel="0" collapsed="false">
      <c r="A94" s="31" t="s">
        <v>563</v>
      </c>
      <c r="B94" s="31" t="s">
        <v>465</v>
      </c>
      <c r="C94" s="31" t="s">
        <v>454</v>
      </c>
      <c r="D94" s="31" t="s">
        <v>563</v>
      </c>
      <c r="E94" s="31" t="n">
        <v>2000</v>
      </c>
      <c r="F94" s="31"/>
      <c r="G94" s="31"/>
      <c r="H94" s="31"/>
      <c r="I94" s="31"/>
      <c r="J94" s="31" t="n">
        <f aca="false">IFERROR(SUM(E94,G94,I94)/1000,"")</f>
        <v>2</v>
      </c>
      <c r="K94" s="32" t="n">
        <f aca="false">$E$4</f>
        <v>100</v>
      </c>
      <c r="L94" s="31" t="n">
        <f aca="false">IF(J94="","",J94/1000*K94*(1+$E$5/100))</f>
        <v>0.21</v>
      </c>
      <c r="M94" s="31" t="n">
        <f aca="false">IF(J94="","",J94/1000*$E$6)</f>
        <v>0.00019</v>
      </c>
      <c r="N94" s="32" t="n">
        <f aca="false">IF(C94="ampoule verre",$E$12,IF(C94="poche PEA",$E$13,$E$11))</f>
        <v>10</v>
      </c>
      <c r="O94" s="32" t="n">
        <f aca="false">IF(C94="ampoule verre",$E$8,IF(C94="poche PEA",$E$9,$E$7))</f>
        <v>7.1</v>
      </c>
      <c r="P94" s="31" t="n">
        <f aca="false">N94/1000*O94*(1+$E$5/100)</f>
        <v>0.07455</v>
      </c>
      <c r="Q94" s="32" t="n">
        <f aca="false">$E$14</f>
        <v>3</v>
      </c>
      <c r="R94" s="31" t="n">
        <f aca="false">Q94/1000*$E$10</f>
        <v>0.00348</v>
      </c>
      <c r="S94" s="31" t="n">
        <f aca="false">IF(J94="","",SUM(L94:M94,P94,R94))</f>
        <v>0.28822</v>
      </c>
      <c r="T94" s="31" t="str">
        <f aca="false">IF(OR(J94="",K94=$E$4),"Élevé - FE PA générique",IF(W94&lt;&gt;"","À vérifier","Moyen"))</f>
        <v>Élevé - FE PA générique</v>
      </c>
      <c r="U94" s="31" t="s">
        <v>455</v>
      </c>
      <c r="V94" s="31" t="s">
        <v>456</v>
      </c>
      <c r="W94" s="31"/>
      <c r="X94" s="1" t="str">
        <f aca="false">IF(A94="","",IF(OR(ISNUMBER(SEARCH("poche",C94)),ISNUMBER(SEARCH("ampoule",C94)),ISNUMBER(SEARCH("plastique",C94))),"Prêt à être dilué / administré (hypothèse)","Reconstitution nécessaire (hypothèse)"))</f>
        <v>Reconstitution nécessaire (hypothèse)</v>
      </c>
      <c r="Y94" s="1" t="str">
        <f aca="false">IF(A94="","",IF(ISNUMBER(SEARCH("Reconstitution",X94)),"Flacon/poudre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4" s="1" t="n">
        <f aca="false">IF(A94="","",IF(ISNUMBER(SEARCH("Reconstitution",X94)),1,0))</f>
        <v>1</v>
      </c>
      <c r="AA94" s="1" t="str">
        <f aca="false">IF(Z94&gt;0,"SERINGUE_PP_24ML","")</f>
        <v>SERINGUE_PP_24ML</v>
      </c>
      <c r="AB94" s="27" t="n">
        <f aca="false">IF(Z94&gt;0,Z94*VLOOKUP(AA94,FACTEURS_ITEMS!$A$3:$J$30,4,FALSE()),0)</f>
        <v>0.069</v>
      </c>
      <c r="AC94" s="1" t="n">
        <f aca="false">IF(A94="","",IF(ISNUMBER(SEARCH("Reconstitution",X94)),1,0))</f>
        <v>1</v>
      </c>
      <c r="AD94" s="1" t="str">
        <f aca="false">IF(AC94&gt;0,"AIGUILLE_RECONSTITUTION","")</f>
        <v>AIGUILLE_RECONSTITUTION</v>
      </c>
      <c r="AE94" s="27" t="n">
        <f aca="false">IF(AC94&gt;0,AC94*VLOOKUP(AD94,FACTEURS_ITEMS!$A$3:$J$30,4,FALSE()),0)</f>
        <v>0.01</v>
      </c>
      <c r="AF94" s="27" t="n">
        <f aca="false">IF(A94="","",AB94+AE94)</f>
        <v>0.079</v>
      </c>
      <c r="AG94" s="27" t="n">
        <f aca="false">IF(A94="","",S94+AF94)</f>
        <v>0.36722</v>
      </c>
      <c r="AH94" s="1" t="str">
        <f aca="false">IF(A94="","",IF(AF94&gt;0,"ACV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5" customFormat="false" ht="27.75" hidden="false" customHeight="true" outlineLevel="0" collapsed="false">
      <c r="A95" s="31" t="s">
        <v>564</v>
      </c>
      <c r="B95" s="31" t="s">
        <v>464</v>
      </c>
      <c r="C95" s="31" t="s">
        <v>454</v>
      </c>
      <c r="D95" s="31" t="s">
        <v>564</v>
      </c>
      <c r="E95" s="31" t="n">
        <v>1000</v>
      </c>
      <c r="F95" s="31"/>
      <c r="G95" s="31"/>
      <c r="H95" s="31"/>
      <c r="I95" s="31"/>
      <c r="J95" s="31" t="n">
        <f aca="false">IFERROR(SUM(E95,G95,I95)/1000,"")</f>
        <v>1</v>
      </c>
      <c r="K95" s="32" t="n">
        <f aca="false">$E$4</f>
        <v>100</v>
      </c>
      <c r="L95" s="31" t="n">
        <f aca="false">IF(J95="","",J95/1000*K95*(1+$E$5/100))</f>
        <v>0.105</v>
      </c>
      <c r="M95" s="31" t="n">
        <f aca="false">IF(J95="","",J95/1000*$E$6)</f>
        <v>9.5E-005</v>
      </c>
      <c r="N95" s="32" t="n">
        <f aca="false">IF(C95="ampoule verre",$E$12,IF(C95="poche PEA",$E$13,$E$11))</f>
        <v>10</v>
      </c>
      <c r="O95" s="32" t="n">
        <f aca="false">IF(C95="ampoule verre",$E$8,IF(C95="poche PEA",$E$9,$E$7))</f>
        <v>7.1</v>
      </c>
      <c r="P95" s="31" t="n">
        <f aca="false">N95/1000*O95*(1+$E$5/100)</f>
        <v>0.07455</v>
      </c>
      <c r="Q95" s="32" t="n">
        <f aca="false">$E$14</f>
        <v>3</v>
      </c>
      <c r="R95" s="31" t="n">
        <f aca="false">Q95/1000*$E$10</f>
        <v>0.00348</v>
      </c>
      <c r="S95" s="31" t="n">
        <f aca="false">IF(J95="","",SUM(L95:M95,P95,R95))</f>
        <v>0.183125</v>
      </c>
      <c r="T95" s="31" t="str">
        <f aca="false">IF(OR(J95="",K95=$E$4),"Élevé - FE PA générique",IF(W95&lt;&gt;"","À vérifier","Moyen"))</f>
        <v>Élevé - FE PA générique</v>
      </c>
      <c r="U95" s="31" t="s">
        <v>493</v>
      </c>
      <c r="V95" s="31" t="s">
        <v>456</v>
      </c>
      <c r="W95" s="31"/>
      <c r="X95" s="1" t="str">
        <f aca="false">IF(A95="","",IF(OR(ISNUMBER(SEARCH("poche",C95)),ISNUMBER(SEARCH("ampoule",C95)),ISNUMBER(SEARCH("plastique",C95))),"Prêt à être dilué / administré (hypothèse)","Reconstitution nécessaire (hypothèse)"))</f>
        <v>Reconstitution nécessaire (hypothèse)</v>
      </c>
      <c r="Y95" s="1" t="str">
        <f aca="false">IF(A95="","",IF(ISNUMBER(SEARCH("Reconstitution",X95)),"Flacon/poudre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5" s="1" t="n">
        <f aca="false">IF(A95="","",IF(ISNUMBER(SEARCH("Reconstitution",X95)),1,0))</f>
        <v>1</v>
      </c>
      <c r="AA95" s="1" t="str">
        <f aca="false">IF(Z95&gt;0,"SERINGUE_PP_24ML","")</f>
        <v>SERINGUE_PP_24ML</v>
      </c>
      <c r="AB95" s="27" t="n">
        <f aca="false">IF(Z95&gt;0,Z95*VLOOKUP(AA95,FACTEURS_ITEMS!$A$3:$J$30,4,FALSE()),0)</f>
        <v>0.069</v>
      </c>
      <c r="AC95" s="1" t="n">
        <f aca="false">IF(A95="","",IF(ISNUMBER(SEARCH("Reconstitution",X95)),1,0))</f>
        <v>1</v>
      </c>
      <c r="AD95" s="1" t="str">
        <f aca="false">IF(AC95&gt;0,"AIGUILLE_RECONSTITUTION","")</f>
        <v>AIGUILLE_RECONSTITUTION</v>
      </c>
      <c r="AE95" s="27" t="n">
        <f aca="false">IF(AC95&gt;0,AC95*VLOOKUP(AD95,FACTEURS_ITEMS!$A$3:$J$30,4,FALSE()),0)</f>
        <v>0.01</v>
      </c>
      <c r="AF95" s="27" t="n">
        <f aca="false">IF(A95="","",AB95+AE95)</f>
        <v>0.079</v>
      </c>
      <c r="AG95" s="27" t="n">
        <f aca="false">IF(A95="","",S95+AF95)</f>
        <v>0.262125</v>
      </c>
      <c r="AH95" s="1" t="str">
        <f aca="false">IF(A95="","",IF(AF95&gt;0,"ACV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6" customFormat="false" ht="27.75" hidden="false" customHeight="true" outlineLevel="0" collapsed="false">
      <c r="A96" s="31" t="s">
        <v>565</v>
      </c>
      <c r="B96" s="31" t="s">
        <v>566</v>
      </c>
      <c r="C96" s="31" t="s">
        <v>454</v>
      </c>
      <c r="D96" s="31" t="s">
        <v>564</v>
      </c>
      <c r="E96" s="31" t="n">
        <v>3000</v>
      </c>
      <c r="F96" s="31" t="s">
        <v>468</v>
      </c>
      <c r="G96" s="31" t="n">
        <v>100</v>
      </c>
      <c r="H96" s="31"/>
      <c r="I96" s="31"/>
      <c r="J96" s="31" t="n">
        <f aca="false">IFERROR(SUM(E96,G96,I96)/1000,"")</f>
        <v>3.1</v>
      </c>
      <c r="K96" s="32" t="n">
        <f aca="false">$E$4</f>
        <v>100</v>
      </c>
      <c r="L96" s="31" t="n">
        <f aca="false">IF(J96="","",J96/1000*K96*(1+$E$5/100))</f>
        <v>0.3255</v>
      </c>
      <c r="M96" s="31" t="n">
        <f aca="false">IF(J96="","",J96/1000*$E$6)</f>
        <v>0.0002945</v>
      </c>
      <c r="N96" s="32" t="n">
        <f aca="false">IF(C96="ampoule verre",$E$12,IF(C96="poche PEA",$E$13,$E$11))</f>
        <v>10</v>
      </c>
      <c r="O96" s="32" t="n">
        <f aca="false">IF(C96="ampoule verre",$E$8,IF(C96="poche PEA",$E$9,$E$7))</f>
        <v>7.1</v>
      </c>
      <c r="P96" s="31" t="n">
        <f aca="false">N96/1000*O96*(1+$E$5/100)</f>
        <v>0.07455</v>
      </c>
      <c r="Q96" s="32" t="n">
        <f aca="false">$E$14</f>
        <v>3</v>
      </c>
      <c r="R96" s="31" t="n">
        <f aca="false">Q96/1000*$E$10</f>
        <v>0.00348</v>
      </c>
      <c r="S96" s="31" t="n">
        <f aca="false">IF(J96="","",SUM(L96:M96,P96,R96))</f>
        <v>0.4038245</v>
      </c>
      <c r="T96" s="31" t="str">
        <f aca="false">IF(OR(J96="",K96=$E$4),"Élevé - FE PA générique",IF(W96&lt;&gt;"","À vérifier","Moyen"))</f>
        <v>Élevé - FE PA générique</v>
      </c>
      <c r="U96" s="31" t="s">
        <v>493</v>
      </c>
      <c r="V96" s="31" t="s">
        <v>456</v>
      </c>
      <c r="W96" s="31"/>
      <c r="X96" s="1" t="str">
        <f aca="false">IF(A96="","",IF(OR(ISNUMBER(SEARCH("poche",C96)),ISNUMBER(SEARCH("ampoule",C96)),ISNUMBER(SEARCH("plastique",C96))),"Prêt à être dilué / administré (hypothèse)","Reconstitution nécessaire (hypothèse)"))</f>
        <v>Reconstitution nécessaire (hypothèse)</v>
      </c>
      <c r="Y96" s="1" t="str">
        <f aca="false">IF(A96="","",IF(ISNUMBER(SEARCH("Reconstitution",X96)),"Flacon/poudre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6" s="1" t="n">
        <f aca="false">IF(A96="","",IF(ISNUMBER(SEARCH("Reconstitution",X96)),1,0))</f>
        <v>1</v>
      </c>
      <c r="AA96" s="1" t="str">
        <f aca="false">IF(Z96&gt;0,"SERINGUE_PP_24ML","")</f>
        <v>SERINGUE_PP_24ML</v>
      </c>
      <c r="AB96" s="27" t="n">
        <f aca="false">IF(Z96&gt;0,Z96*VLOOKUP(AA96,FACTEURS_ITEMS!$A$3:$J$30,4,FALSE()),0)</f>
        <v>0.069</v>
      </c>
      <c r="AC96" s="1" t="n">
        <f aca="false">IF(A96="","",IF(ISNUMBER(SEARCH("Reconstitution",X96)),1,0))</f>
        <v>1</v>
      </c>
      <c r="AD96" s="1" t="str">
        <f aca="false">IF(AC96&gt;0,"AIGUILLE_RECONSTITUTION","")</f>
        <v>AIGUILLE_RECONSTITUTION</v>
      </c>
      <c r="AE96" s="27" t="n">
        <f aca="false">IF(AC96&gt;0,AC96*VLOOKUP(AD96,FACTEURS_ITEMS!$A$3:$J$30,4,FALSE()),0)</f>
        <v>0.01</v>
      </c>
      <c r="AF96" s="27" t="n">
        <f aca="false">IF(A96="","",AB96+AE96)</f>
        <v>0.079</v>
      </c>
      <c r="AG96" s="27" t="n">
        <f aca="false">IF(A96="","",S96+AF96)</f>
        <v>0.4828245</v>
      </c>
      <c r="AH96" s="1" t="str">
        <f aca="false">IF(A96="","",IF(AF96&gt;0,"ACV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97" customFormat="false" ht="27.75" hidden="false" customHeight="true" outlineLevel="0" collapsed="false">
      <c r="A97" s="31" t="s">
        <v>567</v>
      </c>
      <c r="B97" s="31" t="s">
        <v>568</v>
      </c>
      <c r="C97" s="31" t="s">
        <v>460</v>
      </c>
      <c r="D97" s="31" t="s">
        <v>567</v>
      </c>
      <c r="E97" s="31" t="n">
        <v>75</v>
      </c>
      <c r="F97" s="31"/>
      <c r="G97" s="31"/>
      <c r="H97" s="31"/>
      <c r="I97" s="31"/>
      <c r="J97" s="31" t="n">
        <f aca="false">IFERROR(SUM(E97,G97,I97)/1000,"")</f>
        <v>0.075</v>
      </c>
      <c r="K97" s="32" t="n">
        <f aca="false">$E$4</f>
        <v>100</v>
      </c>
      <c r="L97" s="31" t="n">
        <f aca="false">IF(J97="","",J97/1000*K97*(1+$E$5/100))</f>
        <v>0.007875</v>
      </c>
      <c r="M97" s="31" t="n">
        <f aca="false">IF(J97="","",J97/1000*$E$6)</f>
        <v>7.125E-006</v>
      </c>
      <c r="N97" s="32" t="n">
        <f aca="false">IF(C97="ampoule verre",$E$12,IF(C97="poche PEA",$E$13,$E$11))</f>
        <v>5</v>
      </c>
      <c r="O97" s="32" t="n">
        <f aca="false">IF(C97="ampoule verre",$E$8,IF(C97="poche PEA",$E$9,$E$7))</f>
        <v>5</v>
      </c>
      <c r="P97" s="31" t="n">
        <f aca="false">N97/1000*O97*(1+$E$5/100)</f>
        <v>0.02625</v>
      </c>
      <c r="Q97" s="32" t="n">
        <f aca="false">$E$14</f>
        <v>3</v>
      </c>
      <c r="R97" s="31" t="n">
        <f aca="false">Q97/1000*$E$10</f>
        <v>0.00348</v>
      </c>
      <c r="S97" s="31" t="n">
        <f aca="false">IF(J97="","",SUM(L97:M97,P97,R97))</f>
        <v>0.037612125</v>
      </c>
      <c r="T97" s="31" t="str">
        <f aca="false">IF(OR(J97="",K97=$E$4),"Élevé - FE PA générique",IF(W97&lt;&gt;"","À vérifier","Moyen"))</f>
        <v>Élevé - FE PA générique</v>
      </c>
      <c r="U97" s="31" t="s">
        <v>493</v>
      </c>
      <c r="V97" s="31" t="s">
        <v>456</v>
      </c>
      <c r="W97" s="31"/>
      <c r="X97" s="1" t="str">
        <f aca="false">IF(A97="","",IF(OR(ISNUMBER(SEARCH("poche",C97)),ISNUMBER(SEARCH("ampoule",C97)),ISNUMBER(SEARCH("plastique",C97))),"Prêt à être dilué / administré (hypothèse)","Reconstitution nécessaire (hypothèse)"))</f>
        <v>Prêt à être dilué / administré (hypothèse)</v>
      </c>
      <c r="Y97" s="1" t="str">
        <f aca="false">IF(A97="","",IF(ISNUMBER(SEARCH("Reconstitution",X97)),"Flacon/poudre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97" s="1" t="n">
        <f aca="false">IF(A97="","",IF(ISNUMBER(SEARCH("Reconstitution",X97)),1,0))</f>
        <v>0</v>
      </c>
      <c r="AA97" s="1" t="str">
        <f aca="false">IF(Z97&gt;0,"SERINGUE_PP_24ML","")</f>
        <v/>
      </c>
      <c r="AB97" s="27" t="n">
        <f aca="false">IF(Z97&gt;0,Z97*VLOOKUP(AA97,FACTEURS_ITEMS!$A$3:$J$30,4,FALSE()),0)</f>
        <v>0</v>
      </c>
      <c r="AC97" s="1" t="n">
        <f aca="false">IF(A97="","",IF(ISNUMBER(SEARCH("Reconstitution",X97)),1,0))</f>
        <v>0</v>
      </c>
      <c r="AD97" s="1" t="str">
        <f aca="false">IF(AC97&gt;0,"AIGUILLE_RECONSTITUTION","")</f>
        <v/>
      </c>
      <c r="AE97" s="27" t="n">
        <f aca="false">IF(AC97&gt;0,AC97*VLOOKUP(AD97,FACTEURS_ITEMS!$A$3:$J$30,4,FALSE()),0)</f>
        <v>0</v>
      </c>
      <c r="AF97" s="27" t="n">
        <f aca="false">IF(A97="","",AB97+AE97)</f>
        <v>0</v>
      </c>
      <c r="AG97" s="27" t="n">
        <f aca="false">IF(A97="","",S97+AF97)</f>
        <v>0.037612125</v>
      </c>
      <c r="AH97" s="1" t="str">
        <f aca="false">IF(A97="","",IF(AF97&gt;0,"ACV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98" customFormat="false" ht="27.75" hidden="false" customHeight="true" outlineLevel="0" collapsed="false">
      <c r="A98" s="31" t="s">
        <v>567</v>
      </c>
      <c r="B98" s="31" t="s">
        <v>569</v>
      </c>
      <c r="C98" s="31" t="s">
        <v>460</v>
      </c>
      <c r="D98" s="31" t="s">
        <v>567</v>
      </c>
      <c r="E98" s="31" t="n">
        <v>150</v>
      </c>
      <c r="F98" s="31"/>
      <c r="G98" s="31"/>
      <c r="H98" s="31"/>
      <c r="I98" s="31"/>
      <c r="J98" s="31" t="n">
        <f aca="false">IFERROR(SUM(E98,G98,I98)/1000,"")</f>
        <v>0.15</v>
      </c>
      <c r="K98" s="32" t="n">
        <f aca="false">$E$4</f>
        <v>100</v>
      </c>
      <c r="L98" s="31" t="n">
        <f aca="false">IF(J98="","",J98/1000*K98*(1+$E$5/100))</f>
        <v>0.01575</v>
      </c>
      <c r="M98" s="31" t="n">
        <f aca="false">IF(J98="","",J98/1000*$E$6)</f>
        <v>1.425E-005</v>
      </c>
      <c r="N98" s="32" t="n">
        <f aca="false">IF(C98="ampoule verre",$E$12,IF(C98="poche PEA",$E$13,$E$11))</f>
        <v>5</v>
      </c>
      <c r="O98" s="32" t="n">
        <f aca="false">IF(C98="ampoule verre",$E$8,IF(C98="poche PEA",$E$9,$E$7))</f>
        <v>5</v>
      </c>
      <c r="P98" s="31" t="n">
        <f aca="false">N98/1000*O98*(1+$E$5/100)</f>
        <v>0.02625</v>
      </c>
      <c r="Q98" s="32" t="n">
        <f aca="false">$E$14</f>
        <v>3</v>
      </c>
      <c r="R98" s="31" t="n">
        <f aca="false">Q98/1000*$E$10</f>
        <v>0.00348</v>
      </c>
      <c r="S98" s="31" t="n">
        <f aca="false">IF(J98="","",SUM(L98:M98,P98,R98))</f>
        <v>0.04549425</v>
      </c>
      <c r="T98" s="31" t="str">
        <f aca="false">IF(OR(J98="",K98=$E$4),"Élevé - FE PA générique",IF(W98&lt;&gt;"","À vérifier","Moyen"))</f>
        <v>Élevé - FE PA générique</v>
      </c>
      <c r="U98" s="31" t="s">
        <v>493</v>
      </c>
      <c r="V98" s="31" t="s">
        <v>456</v>
      </c>
      <c r="W98" s="31"/>
      <c r="X98" s="1" t="str">
        <f aca="false">IF(A98="","",IF(OR(ISNUMBER(SEARCH("poche",C98)),ISNUMBER(SEARCH("ampoule",C98)),ISNUMBER(SEARCH("plastique",C98))),"Prêt à être dilué / administré (hypothèse)","Reconstitution nécessaire (hypothèse)"))</f>
        <v>Prêt à être dilué / administré (hypothèse)</v>
      </c>
      <c r="Y98" s="1" t="str">
        <f aca="false">IF(A98="","",IF(ISNUMBER(SEARCH("Reconstitution",X98)),"Flacon/poudre : ajout par défaut 1 seringue + 1 aiguille ; à revalider selon présentation exacte.","Ampoule/poche/présentation solution : aucun DM de reconstitution ajouté ; DM de perfusion calculés ailleurs."))</f>
        <v>Ampoule/poche/présentation solution : aucun DM de reconstitution ajouté ; DM de perfusion calculés ailleurs.</v>
      </c>
      <c r="Z98" s="1" t="n">
        <f aca="false">IF(A98="","",IF(ISNUMBER(SEARCH("Reconstitution",X98)),1,0))</f>
        <v>0</v>
      </c>
      <c r="AA98" s="1" t="str">
        <f aca="false">IF(Z98&gt;0,"SERINGUE_PP_24ML","")</f>
        <v/>
      </c>
      <c r="AB98" s="27" t="n">
        <f aca="false">IF(Z98&gt;0,Z98*VLOOKUP(AA98,FACTEURS_ITEMS!$A$3:$J$30,4,FALSE()),0)</f>
        <v>0</v>
      </c>
      <c r="AC98" s="1" t="n">
        <f aca="false">IF(A98="","",IF(ISNUMBER(SEARCH("Reconstitution",X98)),1,0))</f>
        <v>0</v>
      </c>
      <c r="AD98" s="1" t="str">
        <f aca="false">IF(AC98&gt;0,"AIGUILLE_RECONSTITUTION","")</f>
        <v/>
      </c>
      <c r="AE98" s="27" t="n">
        <f aca="false">IF(AC98&gt;0,AC98*VLOOKUP(AD98,FACTEURS_ITEMS!$A$3:$J$30,4,FALSE()),0)</f>
        <v>0</v>
      </c>
      <c r="AF98" s="27" t="n">
        <f aca="false">IF(A98="","",AB98+AE98)</f>
        <v>0</v>
      </c>
      <c r="AG98" s="27" t="n">
        <f aca="false">IF(A98="","",S98+AF98)</f>
        <v>0.04549425</v>
      </c>
      <c r="AH98" s="1" t="str">
        <f aca="false">IF(A98="","",IF(AF98&gt;0,"ACV médicament incluant PA + conditionnement + DM de reconstitution. Ne comprend pas poche/solvant/tubulure/administration.","ACV médicament sans DM de reconstitution ajouté."))</f>
        <v>ACV médicament sans DM de reconstitution ajouté.</v>
      </c>
    </row>
    <row r="99" customFormat="false" ht="27.75" hidden="false" customHeight="true" outlineLevel="0" collapsed="false">
      <c r="A99" s="31" t="s">
        <v>570</v>
      </c>
      <c r="B99" s="31" t="s">
        <v>457</v>
      </c>
      <c r="C99" s="31" t="s">
        <v>454</v>
      </c>
      <c r="D99" s="31" t="s">
        <v>570</v>
      </c>
      <c r="E99" s="31" t="n">
        <v>500</v>
      </c>
      <c r="F99" s="31"/>
      <c r="G99" s="31"/>
      <c r="H99" s="31"/>
      <c r="I99" s="31"/>
      <c r="J99" s="31" t="n">
        <f aca="false">IFERROR(SUM(E99,G99,I99)/1000,"")</f>
        <v>0.5</v>
      </c>
      <c r="K99" s="32" t="n">
        <f aca="false">$E$4</f>
        <v>100</v>
      </c>
      <c r="L99" s="31" t="n">
        <f aca="false">IF(J99="","",J99/1000*K99*(1+$E$5/100))</f>
        <v>0.0525</v>
      </c>
      <c r="M99" s="31" t="n">
        <f aca="false">IF(J99="","",J99/1000*$E$6)</f>
        <v>4.75E-005</v>
      </c>
      <c r="N99" s="32" t="n">
        <f aca="false">IF(C99="ampoule verre",$E$12,IF(C99="poche PEA",$E$13,$E$11))</f>
        <v>10</v>
      </c>
      <c r="O99" s="32" t="n">
        <f aca="false">IF(C99="ampoule verre",$E$8,IF(C99="poche PEA",$E$9,$E$7))</f>
        <v>7.1</v>
      </c>
      <c r="P99" s="31" t="n">
        <f aca="false">N99/1000*O99*(1+$E$5/100)</f>
        <v>0.07455</v>
      </c>
      <c r="Q99" s="32" t="n">
        <f aca="false">$E$14</f>
        <v>3</v>
      </c>
      <c r="R99" s="31" t="n">
        <f aca="false">Q99/1000*$E$10</f>
        <v>0.00348</v>
      </c>
      <c r="S99" s="31" t="n">
        <f aca="false">IF(J99="","",SUM(L99:M99,P99,R99))</f>
        <v>0.1305775</v>
      </c>
      <c r="T99" s="31" t="str">
        <f aca="false">IF(OR(J99="",K99=$E$4),"Élevé - FE PA générique",IF(W99&lt;&gt;"","À vérifier","Moyen"))</f>
        <v>Élevé - FE PA générique</v>
      </c>
      <c r="U99" s="31" t="s">
        <v>455</v>
      </c>
      <c r="V99" s="31" t="s">
        <v>456</v>
      </c>
      <c r="W99" s="31"/>
      <c r="X99" s="1" t="str">
        <f aca="false">IF(A99="","",IF(OR(ISNUMBER(SEARCH("poche",C99)),ISNUMBER(SEARCH("ampoule",C99)),ISNUMBER(SEARCH("plastique",C99))),"Prêt à être dilué / administré (hypothèse)","Reconstitution nécessaire (hypothèse)"))</f>
        <v>Reconstitution nécessaire (hypothèse)</v>
      </c>
      <c r="Y99" s="1" t="str">
        <f aca="false">IF(A99="","",IF(ISNUMBER(SEARCH("Reconstitution",X99)),"Flacon/poudre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99" s="1" t="n">
        <f aca="false">IF(A99="","",IF(ISNUMBER(SEARCH("Reconstitution",X99)),1,0))</f>
        <v>1</v>
      </c>
      <c r="AA99" s="1" t="str">
        <f aca="false">IF(Z99&gt;0,"SERINGUE_PP_24ML","")</f>
        <v>SERINGUE_PP_24ML</v>
      </c>
      <c r="AB99" s="27" t="n">
        <f aca="false">IF(Z99&gt;0,Z99*VLOOKUP(AA99,FACTEURS_ITEMS!$A$3:$J$30,4,FALSE()),0)</f>
        <v>0.069</v>
      </c>
      <c r="AC99" s="1" t="n">
        <f aca="false">IF(A99="","",IF(ISNUMBER(SEARCH("Reconstitution",X99)),1,0))</f>
        <v>1</v>
      </c>
      <c r="AD99" s="1" t="str">
        <f aca="false">IF(AC99&gt;0,"AIGUILLE_RECONSTITUTION","")</f>
        <v>AIGUILLE_RECONSTITUTION</v>
      </c>
      <c r="AE99" s="27" t="n">
        <f aca="false">IF(AC99&gt;0,AC99*VLOOKUP(AD99,FACTEURS_ITEMS!$A$3:$J$30,4,FALSE()),0)</f>
        <v>0.01</v>
      </c>
      <c r="AF99" s="27" t="n">
        <f aca="false">IF(A99="","",AB99+AE99)</f>
        <v>0.079</v>
      </c>
      <c r="AG99" s="27" t="n">
        <f aca="false">IF(A99="","",S99+AF99)</f>
        <v>0.2095775</v>
      </c>
      <c r="AH99" s="1" t="str">
        <f aca="false">IF(A99="","",IF(AF99&gt;0,"ACV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100" customFormat="false" ht="27.75" hidden="false" customHeight="true" outlineLevel="0" collapsed="false">
      <c r="A100" s="31" t="s">
        <v>570</v>
      </c>
      <c r="B100" s="31" t="s">
        <v>464</v>
      </c>
      <c r="C100" s="31" t="s">
        <v>454</v>
      </c>
      <c r="D100" s="31" t="s">
        <v>570</v>
      </c>
      <c r="E100" s="31" t="n">
        <v>1000</v>
      </c>
      <c r="F100" s="31"/>
      <c r="G100" s="31"/>
      <c r="H100" s="31"/>
      <c r="I100" s="31"/>
      <c r="J100" s="31" t="n">
        <f aca="false">IFERROR(SUM(E100,G100,I100)/1000,"")</f>
        <v>1</v>
      </c>
      <c r="K100" s="32" t="n">
        <f aca="false">$E$4</f>
        <v>100</v>
      </c>
      <c r="L100" s="31" t="n">
        <f aca="false">IF(J100="","",J100/1000*K100*(1+$E$5/100))</f>
        <v>0.105</v>
      </c>
      <c r="M100" s="31" t="n">
        <f aca="false">IF(J100="","",J100/1000*$E$6)</f>
        <v>9.5E-005</v>
      </c>
      <c r="N100" s="32" t="n">
        <f aca="false">IF(C100="ampoule verre",$E$12,IF(C100="poche PEA",$E$13,$E$11))</f>
        <v>10</v>
      </c>
      <c r="O100" s="32" t="n">
        <f aca="false">IF(C100="ampoule verre",$E$8,IF(C100="poche PEA",$E$9,$E$7))</f>
        <v>7.1</v>
      </c>
      <c r="P100" s="31" t="n">
        <f aca="false">N100/1000*O100*(1+$E$5/100)</f>
        <v>0.07455</v>
      </c>
      <c r="Q100" s="32" t="n">
        <f aca="false">$E$14</f>
        <v>3</v>
      </c>
      <c r="R100" s="31" t="n">
        <f aca="false">Q100/1000*$E$10</f>
        <v>0.00348</v>
      </c>
      <c r="S100" s="31" t="n">
        <f aca="false">IF(J100="","",SUM(L100:M100,P100,R100))</f>
        <v>0.183125</v>
      </c>
      <c r="T100" s="31" t="str">
        <f aca="false">IF(OR(J100="",K100=$E$4),"Élevé - FE PA générique",IF(W100&lt;&gt;"","À vérifier","Moyen"))</f>
        <v>Élevé - FE PA générique</v>
      </c>
      <c r="U100" s="31" t="s">
        <v>455</v>
      </c>
      <c r="V100" s="31" t="s">
        <v>456</v>
      </c>
      <c r="W100" s="31"/>
      <c r="X100" s="1" t="str">
        <f aca="false">IF(A100="","",IF(OR(ISNUMBER(SEARCH("poche",C100)),ISNUMBER(SEARCH("ampoule",C100)),ISNUMBER(SEARCH("plastique",C100))),"Prêt à être dilué / administré (hypothèse)","Reconstitution nécessaire (hypothèse)"))</f>
        <v>Reconstitution nécessaire (hypothèse)</v>
      </c>
      <c r="Y100" s="1" t="str">
        <f aca="false">IF(A100="","",IF(ISNUMBER(SEARCH("Reconstitution",X100)),"Flacon/poudre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00" s="1" t="n">
        <f aca="false">IF(A100="","",IF(ISNUMBER(SEARCH("Reconstitution",X100)),1,0))</f>
        <v>1</v>
      </c>
      <c r="AA100" s="1" t="str">
        <f aca="false">IF(Z100&gt;0,"SERINGUE_PP_24ML","")</f>
        <v>SERINGUE_PP_24ML</v>
      </c>
      <c r="AB100" s="27" t="n">
        <f aca="false">IF(Z100&gt;0,Z100*VLOOKUP(AA100,FACTEURS_ITEMS!$A$3:$J$30,4,FALSE()),0)</f>
        <v>0.069</v>
      </c>
      <c r="AC100" s="1" t="n">
        <f aca="false">IF(A100="","",IF(ISNUMBER(SEARCH("Reconstitution",X100)),1,0))</f>
        <v>1</v>
      </c>
      <c r="AD100" s="1" t="str">
        <f aca="false">IF(AC100&gt;0,"AIGUILLE_RECONSTITUTION","")</f>
        <v>AIGUILLE_RECONSTITUTION</v>
      </c>
      <c r="AE100" s="27" t="n">
        <f aca="false">IF(AC100&gt;0,AC100*VLOOKUP(AD100,FACTEURS_ITEMS!$A$3:$J$30,4,FALSE()),0)</f>
        <v>0.01</v>
      </c>
      <c r="AF100" s="27" t="n">
        <f aca="false">IF(A100="","",AB100+AE100)</f>
        <v>0.079</v>
      </c>
      <c r="AG100" s="27" t="n">
        <f aca="false">IF(A100="","",S100+AF100)</f>
        <v>0.262125</v>
      </c>
      <c r="AH100" s="1" t="str">
        <f aca="false">IF(A100="","",IF(AF100&gt;0,"ACV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  <row r="101" customFormat="false" ht="27.75" hidden="false" customHeight="true" outlineLevel="0" collapsed="false">
      <c r="A101" s="31" t="s">
        <v>571</v>
      </c>
      <c r="B101" s="31" t="s">
        <v>533</v>
      </c>
      <c r="C101" s="31" t="s">
        <v>454</v>
      </c>
      <c r="D101" s="31" t="s">
        <v>572</v>
      </c>
      <c r="E101" s="31" t="n">
        <v>200</v>
      </c>
      <c r="F101" s="31"/>
      <c r="G101" s="31"/>
      <c r="H101" s="31"/>
      <c r="I101" s="31"/>
      <c r="J101" s="31" t="n">
        <f aca="false">IFERROR(SUM(E101,G101,I101)/1000,"")</f>
        <v>0.2</v>
      </c>
      <c r="K101" s="32" t="n">
        <f aca="false">$E$4</f>
        <v>100</v>
      </c>
      <c r="L101" s="31" t="n">
        <f aca="false">IF(J101="","",J101/1000*K101*(1+$E$5/100))</f>
        <v>0.021</v>
      </c>
      <c r="M101" s="31" t="n">
        <f aca="false">IF(J101="","",J101/1000*$E$6)</f>
        <v>1.9E-005</v>
      </c>
      <c r="N101" s="32" t="n">
        <f aca="false">IF(C101="ampoule verre",$E$12,IF(C101="poche PEA",$E$13,$E$11))</f>
        <v>10</v>
      </c>
      <c r="O101" s="32" t="n">
        <f aca="false">IF(C101="ampoule verre",$E$8,IF(C101="poche PEA",$E$9,$E$7))</f>
        <v>7.1</v>
      </c>
      <c r="P101" s="31" t="n">
        <f aca="false">N101/1000*O101*(1+$E$5/100)</f>
        <v>0.07455</v>
      </c>
      <c r="Q101" s="32" t="n">
        <f aca="false">$E$14</f>
        <v>3</v>
      </c>
      <c r="R101" s="31" t="n">
        <f aca="false">Q101/1000*$E$10</f>
        <v>0.00348</v>
      </c>
      <c r="S101" s="31" t="n">
        <f aca="false">IF(J101="","",SUM(L101:M101,P101,R101))</f>
        <v>0.099049</v>
      </c>
      <c r="T101" s="31" t="str">
        <f aca="false">IF(OR(J101="",K101=$E$4),"Élevé - FE PA générique",IF(W101&lt;&gt;"","À vérifier","Moyen"))</f>
        <v>Élevé - FE PA générique</v>
      </c>
      <c r="U101" s="31" t="s">
        <v>455</v>
      </c>
      <c r="V101" s="31" t="s">
        <v>456</v>
      </c>
      <c r="W101" s="31"/>
      <c r="X101" s="1" t="str">
        <f aca="false">IF(A101="","",IF(OR(ISNUMBER(SEARCH("poche",C101)),ISNUMBER(SEARCH("ampoule",C101)),ISNUMBER(SEARCH("plastique",C101))),"Prêt à être dilué / administré (hypothèse)","Reconstitution nécessaire (hypothèse)"))</f>
        <v>Reconstitution nécessaire (hypothèse)</v>
      </c>
      <c r="Y101" s="1" t="str">
        <f aca="false">IF(A101="","",IF(ISNUMBER(SEARCH("Reconstitution",X101)),"Flacon/poudre : ajout par défaut 1 seringue + 1 aiguille ; à revalider selon présentation exacte.","Ampoule/poche/présentation solution : aucun DM de reconstitution ajouté ; DM de perfusion calculés ailleurs."))</f>
        <v>Flacon/poudre : ajout par défaut 1 seringue + 1 aiguille ; à revalider selon présentation exacte.</v>
      </c>
      <c r="Z101" s="1" t="n">
        <f aca="false">IF(A101="","",IF(ISNUMBER(SEARCH("Reconstitution",X101)),1,0))</f>
        <v>1</v>
      </c>
      <c r="AA101" s="1" t="str">
        <f aca="false">IF(Z101&gt;0,"SERINGUE_PP_24ML","")</f>
        <v>SERINGUE_PP_24ML</v>
      </c>
      <c r="AB101" s="27" t="n">
        <f aca="false">IF(Z101&gt;0,Z101*VLOOKUP(AA101,FACTEURS_ITEMS!$A$3:$J$30,4,FALSE()),0)</f>
        <v>0.069</v>
      </c>
      <c r="AC101" s="1" t="n">
        <f aca="false">IF(A101="","",IF(ISNUMBER(SEARCH("Reconstitution",X101)),1,0))</f>
        <v>1</v>
      </c>
      <c r="AD101" s="1" t="str">
        <f aca="false">IF(AC101&gt;0,"AIGUILLE_RECONSTITUTION","")</f>
        <v>AIGUILLE_RECONSTITUTION</v>
      </c>
      <c r="AE101" s="27" t="n">
        <f aca="false">IF(AC101&gt;0,AC101*VLOOKUP(AD101,FACTEURS_ITEMS!$A$3:$J$30,4,FALSE()),0)</f>
        <v>0.01</v>
      </c>
      <c r="AF101" s="27" t="n">
        <f aca="false">IF(A101="","",AB101+AE101)</f>
        <v>0.079</v>
      </c>
      <c r="AG101" s="27" t="n">
        <f aca="false">IF(A101="","",S101+AF101)</f>
        <v>0.178049</v>
      </c>
      <c r="AH101" s="1" t="str">
        <f aca="false">IF(A101="","",IF(AF101&gt;0,"ACV médicament incluant PA + conditionnement + DM de reconstitution. Ne comprend pas poche/solvant/tubulure/administration.","ACV médicament sans DM de reconstitution ajouté."))</f>
        <v>ACV médicament incluant PA + conditionnement + DM de reconstitution. Ne comprend pas poche/solvant/tubulure/administration.</v>
      </c>
    </row>
  </sheetData>
  <mergeCells count="1">
    <mergeCell ref="A1:M1"/>
  </mergeCells>
  <conditionalFormatting sqref="T18:T101">
    <cfRule type="expression" priority="2" aboveAverage="0" equalAverage="0" bottom="0" percent="0" rank="0" text="" dxfId="13">
      <formula>LEFT(T18,5)="Élevé"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1.86"/>
    <col collapsed="false" customWidth="true" hidden="false" outlineLevel="0" max="2" min="2" style="1" width="72.81"/>
    <col collapsed="false" customWidth="true" hidden="false" outlineLevel="0" max="3" min="3" style="1" width="117.77"/>
    <col collapsed="false" customWidth="true" hidden="false" outlineLevel="0" max="4" min="4" style="1" width="83.31"/>
  </cols>
  <sheetData>
    <row r="1" customFormat="false" ht="27.75" hidden="false" customHeight="true" outlineLevel="0" collapsed="false">
      <c r="A1" s="34" t="s">
        <v>573</v>
      </c>
      <c r="B1" s="34"/>
      <c r="C1" s="34"/>
      <c r="D1" s="34"/>
      <c r="E1" s="5"/>
      <c r="F1" s="5"/>
      <c r="G1" s="5"/>
      <c r="H1" s="5"/>
      <c r="I1" s="5"/>
    </row>
    <row r="2" customFormat="false" ht="15" hidden="false" customHeight="true" outlineLevel="0" collapsed="false">
      <c r="A2" s="5" t="s">
        <v>288</v>
      </c>
      <c r="B2" s="5" t="s">
        <v>574</v>
      </c>
      <c r="C2" s="5"/>
      <c r="D2" s="5"/>
      <c r="E2" s="5"/>
      <c r="F2" s="5"/>
      <c r="G2" s="5"/>
      <c r="H2" s="5"/>
      <c r="I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4" customFormat="false" ht="15" hidden="false" customHeight="true" outlineLevel="0" collapsed="false">
      <c r="A4" s="35" t="s">
        <v>575</v>
      </c>
      <c r="B4" s="35" t="s">
        <v>576</v>
      </c>
      <c r="C4" s="35" t="s">
        <v>577</v>
      </c>
      <c r="D4" s="35" t="s">
        <v>578</v>
      </c>
      <c r="E4" s="5"/>
      <c r="F4" s="5"/>
      <c r="G4" s="5"/>
      <c r="H4" s="5"/>
      <c r="I4" s="5"/>
    </row>
    <row r="5" customFormat="false" ht="15" hidden="false" customHeight="true" outlineLevel="0" collapsed="false">
      <c r="A5" s="5" t="s">
        <v>579</v>
      </c>
      <c r="B5" s="5" t="s">
        <v>580</v>
      </c>
      <c r="C5" s="5" t="s">
        <v>581</v>
      </c>
      <c r="D5" s="5" t="s">
        <v>582</v>
      </c>
      <c r="E5" s="5"/>
      <c r="F5" s="5"/>
      <c r="G5" s="5"/>
      <c r="H5" s="5"/>
      <c r="I5" s="5"/>
    </row>
    <row r="6" customFormat="false" ht="15" hidden="false" customHeight="true" outlineLevel="0" collapsed="false">
      <c r="A6" s="5" t="s">
        <v>583</v>
      </c>
      <c r="B6" s="5" t="s">
        <v>584</v>
      </c>
      <c r="C6" s="5" t="s">
        <v>585</v>
      </c>
      <c r="D6" s="5" t="s">
        <v>586</v>
      </c>
      <c r="E6" s="5"/>
      <c r="F6" s="5"/>
      <c r="G6" s="5"/>
      <c r="H6" s="5"/>
      <c r="I6" s="5"/>
    </row>
    <row r="7" customFormat="false" ht="15" hidden="false" customHeight="true" outlineLevel="0" collapsed="false">
      <c r="A7" s="5" t="s">
        <v>587</v>
      </c>
      <c r="B7" s="5" t="s">
        <v>588</v>
      </c>
      <c r="C7" s="5" t="s">
        <v>589</v>
      </c>
      <c r="D7" s="5" t="s">
        <v>590</v>
      </c>
      <c r="E7" s="5"/>
      <c r="F7" s="5"/>
      <c r="G7" s="5"/>
      <c r="H7" s="5"/>
      <c r="I7" s="5"/>
    </row>
    <row r="8" customFormat="false" ht="15" hidden="false" customHeight="true" outlineLevel="0" collapsed="false">
      <c r="A8" s="5" t="s">
        <v>591</v>
      </c>
      <c r="B8" s="5" t="s">
        <v>592</v>
      </c>
      <c r="C8" s="5" t="s">
        <v>593</v>
      </c>
      <c r="D8" s="5" t="s">
        <v>594</v>
      </c>
      <c r="E8" s="5"/>
      <c r="F8" s="5"/>
      <c r="G8" s="5"/>
      <c r="H8" s="5"/>
      <c r="I8" s="5"/>
    </row>
    <row r="9" customFormat="false" ht="15" hidden="false" customHeight="true" outlineLevel="0" collapsed="false">
      <c r="A9" s="5" t="s">
        <v>595</v>
      </c>
      <c r="B9" s="5" t="s">
        <v>596</v>
      </c>
      <c r="C9" s="5" t="s">
        <v>597</v>
      </c>
      <c r="D9" s="5" t="s">
        <v>598</v>
      </c>
      <c r="E9" s="5"/>
      <c r="F9" s="5"/>
      <c r="G9" s="5"/>
      <c r="H9" s="5"/>
      <c r="I9" s="5"/>
    </row>
    <row r="10" customFormat="false" ht="27.75" hidden="false" customHeight="true" outlineLevel="0" collapsed="false">
      <c r="A10" s="5" t="s">
        <v>599</v>
      </c>
      <c r="B10" s="5" t="s">
        <v>600</v>
      </c>
      <c r="C10" s="5" t="s">
        <v>601</v>
      </c>
      <c r="D10" s="5" t="s">
        <v>602</v>
      </c>
      <c r="E10" s="5"/>
      <c r="F10" s="5"/>
      <c r="G10" s="5"/>
      <c r="H10" s="5"/>
      <c r="I10" s="5"/>
    </row>
    <row r="11" customFormat="false" ht="27.75" hidden="false" customHeight="true" outlineLevel="0" collapsed="false">
      <c r="A11" s="5" t="s">
        <v>603</v>
      </c>
      <c r="B11" s="5" t="s">
        <v>604</v>
      </c>
      <c r="C11" s="5" t="s">
        <v>605</v>
      </c>
      <c r="D11" s="5" t="s">
        <v>606</v>
      </c>
      <c r="E11" s="5"/>
      <c r="F11" s="5"/>
      <c r="G11" s="5"/>
      <c r="H11" s="5"/>
      <c r="I11" s="5"/>
    </row>
    <row r="12" customFormat="false" ht="15" hidden="false" customHeight="true" outlineLevel="0" collapsed="false">
      <c r="A12" s="5" t="s">
        <v>607</v>
      </c>
      <c r="B12" s="5" t="s">
        <v>608</v>
      </c>
      <c r="C12" s="5" t="s">
        <v>609</v>
      </c>
      <c r="D12" s="5" t="s">
        <v>610</v>
      </c>
      <c r="E12" s="5"/>
      <c r="F12" s="5"/>
      <c r="G12" s="5"/>
      <c r="H12" s="5"/>
      <c r="I12" s="5"/>
    </row>
    <row r="13" customFormat="false" ht="15" hidden="false" customHeight="true" outlineLevel="0" collapsed="false">
      <c r="A13" s="5" t="s">
        <v>611</v>
      </c>
      <c r="B13" s="5" t="s">
        <v>612</v>
      </c>
      <c r="C13" s="5" t="s">
        <v>613</v>
      </c>
      <c r="D13" s="5" t="s">
        <v>614</v>
      </c>
      <c r="E13" s="5"/>
      <c r="F13" s="5"/>
      <c r="G13" s="5"/>
      <c r="H13" s="5"/>
      <c r="I13" s="5"/>
    </row>
    <row r="14" customFormat="false" ht="27.75" hidden="false" customHeight="true" outlineLevel="0" collapsed="false">
      <c r="A14" s="5" t="s">
        <v>615</v>
      </c>
      <c r="B14" s="5" t="s">
        <v>616</v>
      </c>
      <c r="C14" s="5" t="s">
        <v>617</v>
      </c>
      <c r="D14" s="5" t="s">
        <v>618</v>
      </c>
      <c r="E14" s="5"/>
      <c r="F14" s="5"/>
      <c r="G14" s="5"/>
      <c r="H14" s="5"/>
      <c r="I14" s="5"/>
    </row>
    <row r="15" customFormat="false" ht="27.75" hidden="false" customHeight="true" outlineLevel="0" collapsed="false">
      <c r="A15" s="5" t="s">
        <v>619</v>
      </c>
      <c r="B15" s="5" t="s">
        <v>620</v>
      </c>
      <c r="C15" s="5" t="s">
        <v>621</v>
      </c>
      <c r="D15" s="5" t="s">
        <v>622</v>
      </c>
      <c r="E15" s="5"/>
      <c r="F15" s="5"/>
      <c r="G15" s="5"/>
      <c r="H15" s="5"/>
      <c r="I15" s="5"/>
    </row>
    <row r="16" customFormat="false" ht="27.75" hidden="false" customHeight="true" outlineLevel="0" collapsed="false">
      <c r="A16" s="36" t="s">
        <v>623</v>
      </c>
      <c r="B16" s="36" t="s">
        <v>624</v>
      </c>
      <c r="C16" s="36" t="s">
        <v>625</v>
      </c>
      <c r="D16" s="36" t="s">
        <v>626</v>
      </c>
      <c r="E16" s="5"/>
      <c r="F16" s="5"/>
      <c r="G16" s="5"/>
      <c r="H16" s="5"/>
      <c r="I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2026-07-06T13:52:18Z</dcterms:created>
  <dc:creator>openpyxl</dc:creator>
  <dc:description/>
  <dc:language>en-US</dc:language>
  <cp:lastModifiedBy/>
  <dcterms:modified xsi:type="dcterms:W3CDTF">2026-07-06T13:52:18Z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